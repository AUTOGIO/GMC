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🥧 Asset Allocation" sheetId="2" state="visible" r:id="rId2"/>
    <sheet xmlns:r="http://schemas.openxmlformats.org/officeDocument/2006/relationships" name="🗂 Gavetas" sheetId="3" state="visible" r:id="rId3"/>
    <sheet xmlns:r="http://schemas.openxmlformats.org/officeDocument/2006/relationships" name="📋 Instruments" sheetId="4" state="visible" r:id="rId4"/>
    <sheet xmlns:r="http://schemas.openxmlformats.org/officeDocument/2006/relationships" name="📈 Equities VISA" sheetId="5" state="visible" r:id="rId5"/>
    <sheet xmlns:r="http://schemas.openxmlformats.org/officeDocument/2006/relationships" name="₿ Crypto CFM" sheetId="6" state="visible" r:id="rId6"/>
    <sheet xmlns:r="http://schemas.openxmlformats.org/officeDocument/2006/relationships" name="⚡ Regime &amp; Risk" sheetId="7" state="visible" r:id="rId7"/>
    <sheet xmlns:r="http://schemas.openxmlformats.org/officeDocument/2006/relationships" name="📡 Macro Context" sheetId="8" state="visible" r:id="rId8"/>
    <sheet xmlns:r="http://schemas.openxmlformats.org/officeDocument/2006/relationships" name="🏠 Real Estate BR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0.0%"/>
    <numFmt numFmtId="166" formatCode="#,##0.000"/>
    <numFmt numFmtId="167" formatCode="0.0000"/>
    <numFmt numFmtId="168" formatCode="&quot;R$ &quot;#,##0"/>
  </numFmts>
  <fonts count="6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0C0C0"/>
      <sz val="20"/>
    </font>
    <font>
      <name val="Arial"/>
      <charset val="1"/>
      <family val="0"/>
      <color rgb="FF94A3B8"/>
      <sz val="11"/>
    </font>
    <font>
      <name val="Arial"/>
      <charset val="1"/>
      <family val="0"/>
      <color rgb="FF4A4E52"/>
      <sz val="9"/>
    </font>
    <font>
      <name val="Arial"/>
      <charset val="1"/>
      <family val="0"/>
      <b val="1"/>
      <color rgb="FFC0C0C0"/>
      <sz val="10"/>
    </font>
    <font>
      <name val="Arial"/>
      <charset val="1"/>
      <family val="0"/>
      <color rgb="FF94A3B8"/>
      <sz val="9"/>
    </font>
    <font>
      <name val="Arial"/>
      <charset val="1"/>
      <family val="0"/>
      <b val="1"/>
      <color rgb="FFD0FF00"/>
      <sz val="14"/>
    </font>
    <font>
      <name val="Arial"/>
      <charset val="1"/>
      <family val="0"/>
      <b val="1"/>
      <color rgb="FF4A90D9"/>
      <sz val="14"/>
    </font>
    <font>
      <name val="Arial"/>
      <charset val="1"/>
      <family val="0"/>
      <color rgb="FF94A3B8"/>
      <sz val="8"/>
    </font>
    <font>
      <name val="Arial"/>
      <charset val="1"/>
      <family val="0"/>
      <b val="1"/>
      <color rgb="FFC0C0C0"/>
      <sz val="14"/>
    </font>
    <font>
      <name val="Arial"/>
      <charset val="1"/>
      <family val="0"/>
      <b val="1"/>
      <color rgb="FF0A0A0F"/>
      <sz val="9"/>
    </font>
    <font>
      <name val="Arial"/>
      <charset val="1"/>
      <family val="0"/>
      <color rgb="FFF8FAFC"/>
      <sz val="9"/>
    </font>
    <font>
      <name val="Arial"/>
      <charset val="1"/>
      <family val="0"/>
      <color rgb="FFD0FF00"/>
      <sz val="9"/>
    </font>
    <font>
      <name val="Arial"/>
      <charset val="1"/>
      <family val="0"/>
      <b val="1"/>
      <color rgb="FFC0C0C0"/>
      <sz val="9"/>
    </font>
    <font>
      <name val="Arial"/>
      <charset val="1"/>
      <family val="0"/>
      <b val="1"/>
      <color rgb="FFD0FF00"/>
      <sz val="9"/>
    </font>
    <font>
      <name val="Arial"/>
      <charset val="1"/>
      <family val="0"/>
      <b val="1"/>
      <color rgb="FF4A90D9"/>
      <sz val="9"/>
    </font>
    <font>
      <name val="Arial"/>
      <charset val="1"/>
      <family val="0"/>
      <b val="1"/>
      <color rgb="FF5AC8A0"/>
      <sz val="9"/>
    </font>
    <font>
      <name val="Arial"/>
      <charset val="1"/>
      <family val="0"/>
      <b val="1"/>
      <color rgb="FFF5C842"/>
      <sz val="9"/>
    </font>
    <font>
      <name val="Arial"/>
      <charset val="1"/>
      <family val="0"/>
      <b val="1"/>
      <color rgb="FF8B5CF6"/>
      <sz val="9"/>
    </font>
    <font>
      <name val="Arial"/>
      <charset val="1"/>
      <family val="0"/>
      <b val="1"/>
      <color rgb="FFF97316"/>
      <sz val="9"/>
    </font>
    <font>
      <name val="Arial"/>
      <charset val="1"/>
      <family val="0"/>
      <b val="1"/>
      <color rgb="FF0A0A0F"/>
      <sz val="10"/>
    </font>
    <font>
      <name val="Arial"/>
      <charset val="1"/>
      <family val="0"/>
      <b val="1"/>
      <color rgb="FF4A90D9"/>
      <sz val="10"/>
    </font>
    <font>
      <name val="Arial"/>
      <charset val="1"/>
      <family val="0"/>
      <color rgb="FFF8FAFC"/>
      <sz val="10"/>
    </font>
    <font>
      <name val="Arial"/>
      <charset val="1"/>
      <family val="0"/>
      <color rgb="FFD0FF00"/>
      <sz val="10"/>
    </font>
    <font>
      <name val="Arial"/>
      <charset val="1"/>
      <family val="0"/>
      <b val="1"/>
      <color rgb="FF5AC8A0"/>
      <sz val="10"/>
    </font>
    <font>
      <name val="Arial"/>
      <charset val="1"/>
      <family val="0"/>
      <b val="1"/>
      <color rgb="FFF5C842"/>
      <sz val="10"/>
    </font>
    <font>
      <name val="Arial"/>
      <charset val="1"/>
      <family val="0"/>
      <b val="1"/>
      <color rgb="FF8B5CF6"/>
      <sz val="10"/>
    </font>
    <font>
      <name val="Arial"/>
      <charset val="1"/>
      <family val="0"/>
      <b val="1"/>
      <color rgb="FFF97316"/>
      <sz val="10"/>
    </font>
    <font>
      <name val="Arial"/>
      <charset val="1"/>
      <family val="0"/>
      <b val="1"/>
      <color rgb="FFD0FF00"/>
      <sz val="10"/>
    </font>
    <font>
      <name val="Arial"/>
      <charset val="1"/>
      <family val="0"/>
      <b val="1"/>
      <color rgb="FFF8FAFC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8FAFC"/>
      <sz val="8"/>
    </font>
    <font>
      <name val="Arial"/>
      <charset val="1"/>
      <family val="0"/>
      <b val="1"/>
      <color rgb="FF9CA3AF"/>
      <sz val="10"/>
    </font>
    <font>
      <name val="Arial"/>
      <charset val="1"/>
      <family val="0"/>
      <b val="1"/>
      <color rgb="FF94A3B8"/>
      <sz val="9"/>
    </font>
    <font>
      <name val="Arial"/>
      <charset val="1"/>
      <family val="0"/>
      <b val="1"/>
      <color rgb="FFD0FF00"/>
      <sz val="16"/>
    </font>
    <font>
      <name val="Arial"/>
      <charset val="1"/>
      <family val="0"/>
      <b val="1"/>
      <color rgb="FF22C55E"/>
      <sz val="11"/>
    </font>
    <font>
      <name val="Arial"/>
      <charset val="1"/>
      <family val="0"/>
      <color rgb="FF5AC8A0"/>
      <sz val="9"/>
    </font>
    <font>
      <name val="Arial"/>
      <charset val="1"/>
      <family val="0"/>
      <color rgb="FFF97316"/>
      <sz val="9"/>
    </font>
    <font>
      <name val="Arial"/>
      <charset val="1"/>
      <family val="0"/>
      <color rgb="FF94A3B8"/>
      <sz val="10"/>
    </font>
    <font>
      <name val="Arial"/>
      <charset val="1"/>
      <family val="0"/>
      <color rgb="FF4A4E52"/>
      <sz val="8"/>
    </font>
    <font>
      <name val="Arial"/>
      <charset val="1"/>
      <family val="0"/>
      <b val="1"/>
      <color rgb="FF0A0A0F"/>
      <sz val="8"/>
    </font>
    <font>
      <name val="Arial"/>
      <charset val="1"/>
      <family val="0"/>
      <b val="1"/>
      <color rgb="FFD0FF00"/>
      <sz val="11"/>
    </font>
    <font>
      <name val="Arial"/>
      <charset val="1"/>
      <family val="0"/>
      <b val="1"/>
      <color rgb="FFFBBF24"/>
      <sz val="11"/>
    </font>
    <font>
      <name val="Arial"/>
      <charset val="1"/>
      <family val="0"/>
      <b val="1"/>
      <color rgb="FF4A90D9"/>
      <sz val="11"/>
    </font>
    <font>
      <name val="Arial"/>
      <charset val="1"/>
      <family val="0"/>
      <b val="1"/>
      <color rgb="FFF8FAFC"/>
      <sz val="11"/>
    </font>
    <font>
      <name val="Arial"/>
      <charset val="1"/>
      <family val="0"/>
      <b val="1"/>
      <color rgb="FF94A3B8"/>
      <sz val="10"/>
    </font>
    <font>
      <name val="Arial"/>
      <charset val="1"/>
      <family val="0"/>
      <b val="1"/>
      <color rgb="FF4A4E52"/>
      <sz val="11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color rgb="FF94A3B8"/>
      <sz val="8"/>
    </font>
    <font>
      <name val="Arial"/>
      <charset val="1"/>
      <family val="0"/>
      <color rgb="FF0000FF"/>
      <sz val="8"/>
    </font>
    <font>
      <name val="Arial"/>
      <charset val="1"/>
      <family val="0"/>
      <color rgb="FF008000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FF"/>
      <sz val="10"/>
    </font>
    <font>
      <name val="Arial"/>
      <b val="1"/>
      <color rgb="FF4F8EF7"/>
      <sz val="10"/>
    </font>
    <font>
      <name val="Arial"/>
      <color rgb="FF7AB8FF"/>
      <sz val="10"/>
      <u val="single"/>
    </font>
    <font>
      <name val="Arial"/>
      <i val="1"/>
      <color rgb="FF4A4E52"/>
      <sz val="9"/>
    </font>
    <font>
      <name val="Arial"/>
      <b val="1"/>
      <color rgb="FF7AB8FF"/>
      <sz val="9"/>
      <u val="single"/>
    </font>
  </fonts>
  <fills count="12">
    <fill>
      <patternFill/>
    </fill>
    <fill>
      <patternFill patternType="gray125"/>
    </fill>
    <fill>
      <patternFill patternType="solid">
        <fgColor rgb="FF0A0A0F"/>
        <bgColor rgb="FF0E1016"/>
      </patternFill>
    </fill>
    <fill>
      <patternFill patternType="solid">
        <fgColor rgb="FF12141A"/>
        <bgColor rgb="FF0E1016"/>
      </patternFill>
    </fill>
    <fill>
      <patternFill patternType="solid">
        <fgColor rgb="FFC0C0C0"/>
        <bgColor rgb="FFD9D9D9"/>
      </patternFill>
    </fill>
    <fill>
      <patternFill patternType="solid">
        <fgColor rgb="FF0E1016"/>
        <bgColor rgb="FF12141A"/>
      </patternFill>
    </fill>
    <fill>
      <patternFill patternType="solid">
        <fgColor rgb="FF1A1D25"/>
        <bgColor rgb="FF1A2030"/>
      </patternFill>
    </fill>
    <fill>
      <patternFill patternType="solid">
        <fgColor rgb="FF1A2030"/>
        <bgColor rgb="FF1A1D25"/>
      </patternFill>
    </fill>
    <fill>
      <patternFill patternType="solid">
        <fgColor rgb="FFF8FAFC"/>
        <bgColor rgb="FFF9F9F9"/>
      </patternFill>
    </fill>
    <fill>
      <patternFill patternType="solid">
        <fgColor rgb="FFFFF9C4"/>
        <bgColor rgb="FFFFFF99"/>
      </patternFill>
    </fill>
    <fill>
      <patternFill patternType="solid">
        <fgColor rgb="FF0D1529"/>
      </patternFill>
    </fill>
    <fill>
      <patternFill patternType="solid">
        <fgColor rgb="FF0A0A0F"/>
      </patternFill>
    </fill>
  </fills>
  <borders count="4">
    <border>
      <left/>
      <right/>
      <top/>
      <bottom/>
      <diagonal/>
    </border>
    <border>
      <left style="thin">
        <color rgb="FF2A2D35"/>
      </left>
      <right style="thin">
        <color rgb="FF2A2D35"/>
      </right>
      <top style="thin">
        <color rgb="FF2A2D35"/>
      </top>
      <bottom style="thin">
        <color rgb="FF2A2D35"/>
      </bottom>
      <diagonal/>
    </border>
    <border>
      <bottom style="thin">
        <color rgb="FF2E3347"/>
      </bottom>
    </border>
    <border>
      <left/>
      <right/>
      <top/>
      <bottom style="thin">
        <color rgb="FF2E334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164" fontId="1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left" vertical="center"/>
    </xf>
    <xf numFmtId="164" fontId="15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164" fontId="1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165" fontId="17" fillId="6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165" fontId="25" fillId="3" borderId="1" applyAlignment="1" pivotButton="0" quotePrefix="0" xfId="0">
      <alignment horizontal="right" vertical="center"/>
    </xf>
    <xf numFmtId="164" fontId="26" fillId="3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/>
    </xf>
    <xf numFmtId="165" fontId="25" fillId="5" borderId="1" applyAlignment="1" pivotButton="0" quotePrefix="0" xfId="0">
      <alignment horizontal="right" vertical="center"/>
    </xf>
    <xf numFmtId="164" fontId="26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general" vertical="bottom"/>
    </xf>
    <xf numFmtId="165" fontId="31" fillId="6" borderId="1" applyAlignment="1" pivotButton="0" quotePrefix="0" xfId="0">
      <alignment horizontal="right" vertical="center"/>
    </xf>
    <xf numFmtId="164" fontId="31" fillId="6" borderId="1" applyAlignment="1" pivotButton="0" quotePrefix="0" xfId="0">
      <alignment horizontal="right" vertical="center"/>
    </xf>
    <xf numFmtId="0" fontId="32" fillId="0" borderId="0" applyAlignment="1" pivotButton="0" quotePrefix="0" xfId="0">
      <alignment horizontal="general" vertical="bottom"/>
    </xf>
    <xf numFmtId="9" fontId="25" fillId="3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 wrapText="1"/>
    </xf>
    <xf numFmtId="9" fontId="25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left" vertical="center" wrapText="1"/>
    </xf>
    <xf numFmtId="9" fontId="31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10" fontId="14" fillId="3" borderId="1" applyAlignment="1" pivotButton="0" quotePrefix="0" xfId="0">
      <alignment horizontal="right" vertical="center"/>
    </xf>
    <xf numFmtId="164" fontId="15" fillId="3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0" fontId="14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general" vertical="bottom"/>
    </xf>
    <xf numFmtId="164" fontId="17" fillId="6" borderId="1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bottom"/>
    </xf>
    <xf numFmtId="3" fontId="14" fillId="3" borderId="1" applyAlignment="1" pivotButton="0" quotePrefix="0" xfId="0">
      <alignment horizontal="right" vertical="center"/>
    </xf>
    <xf numFmtId="3" fontId="14" fillId="5" borderId="1" applyAlignment="1" pivotButton="0" quotePrefix="0" xfId="0">
      <alignment horizontal="right" vertical="center"/>
    </xf>
    <xf numFmtId="10" fontId="17" fillId="6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general" vertical="bottom"/>
    </xf>
    <xf numFmtId="166" fontId="25" fillId="3" borderId="1" applyAlignment="1" pivotButton="0" quotePrefix="0" xfId="0">
      <alignment horizontal="right" vertical="center"/>
    </xf>
    <xf numFmtId="166" fontId="25" fillId="5" borderId="1" applyAlignment="1" pivotButton="0" quotePrefix="0" xfId="0">
      <alignment horizontal="right" vertical="center"/>
    </xf>
    <xf numFmtId="0" fontId="37" fillId="3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38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general" vertical="bottom"/>
    </xf>
    <xf numFmtId="9" fontId="14" fillId="3" borderId="1" applyAlignment="1" pivotButton="0" quotePrefix="0" xfId="0">
      <alignment horizontal="center" vertical="center"/>
    </xf>
    <xf numFmtId="9" fontId="17" fillId="7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general" vertical="bottom"/>
    </xf>
    <xf numFmtId="9" fontId="14" fillId="5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0" fontId="17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41" fillId="3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41" fillId="5" borderId="1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43" fillId="2" borderId="0" applyAlignment="1" pivotButton="0" quotePrefix="0" xfId="0">
      <alignment horizontal="left" vertical="center"/>
    </xf>
    <xf numFmtId="0" fontId="44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0" fontId="46" fillId="3" borderId="0" applyAlignment="1" pivotButton="0" quotePrefix="0" xfId="0">
      <alignment horizontal="right" vertical="center"/>
    </xf>
    <xf numFmtId="0" fontId="44" fillId="3" borderId="0" applyAlignment="1" pivotButton="0" quotePrefix="0" xfId="0">
      <alignment horizontal="left" vertical="center"/>
    </xf>
    <xf numFmtId="10" fontId="47" fillId="3" borderId="0" applyAlignment="1" pivotButton="0" quotePrefix="0" xfId="0">
      <alignment horizontal="right" vertical="center"/>
    </xf>
    <xf numFmtId="167" fontId="48" fillId="3" borderId="0" applyAlignment="1" pivotButton="0" quotePrefix="0" xfId="0">
      <alignment horizontal="right" vertical="center"/>
    </xf>
    <xf numFmtId="165" fontId="49" fillId="3" borderId="0" applyAlignment="1" pivotButton="0" quotePrefix="0" xfId="0">
      <alignment horizontal="right" vertical="center"/>
    </xf>
    <xf numFmtId="10" fontId="49" fillId="3" borderId="0" applyAlignment="1" pivotButton="0" quotePrefix="0" xfId="0">
      <alignment horizontal="right" vertical="center"/>
    </xf>
    <xf numFmtId="0" fontId="50" fillId="2" borderId="0" applyAlignment="1" pivotButton="0" quotePrefix="0" xfId="0">
      <alignment horizontal="left" vertical="center"/>
    </xf>
    <xf numFmtId="0" fontId="51" fillId="3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0" fontId="46" fillId="7" borderId="0" applyAlignment="1" pivotButton="0" quotePrefix="0" xfId="0">
      <alignment horizontal="right" vertical="center"/>
    </xf>
    <xf numFmtId="0" fontId="44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wrapText="1"/>
    </xf>
    <xf numFmtId="0" fontId="47" fillId="7" borderId="0" applyAlignment="1" pivotButton="0" quotePrefix="0" xfId="0">
      <alignment horizontal="right" vertical="center"/>
    </xf>
    <xf numFmtId="0" fontId="40" fillId="7" borderId="0" applyAlignment="1" pivotButton="0" quotePrefix="0" xfId="0">
      <alignment horizontal="right" vertical="center"/>
    </xf>
    <xf numFmtId="0" fontId="38" fillId="2" borderId="0" applyAlignment="1" pivotButton="0" quotePrefix="0" xfId="0">
      <alignment horizontal="left" vertical="center"/>
    </xf>
    <xf numFmtId="167" fontId="52" fillId="3" borderId="0" applyAlignment="1" pivotButton="0" quotePrefix="0" xfId="0">
      <alignment horizontal="right" vertical="center"/>
    </xf>
    <xf numFmtId="0" fontId="53" fillId="2" borderId="0" applyAlignment="1" pivotButton="0" quotePrefix="0" xfId="0">
      <alignment horizontal="left" vertical="center"/>
    </xf>
    <xf numFmtId="0" fontId="54" fillId="2" borderId="0" applyAlignment="1" pivotButton="0" quotePrefix="0" xfId="0">
      <alignment horizontal="left" vertical="center"/>
    </xf>
    <xf numFmtId="0" fontId="55" fillId="2" borderId="0" applyAlignment="1" pivotButton="0" quotePrefix="0" xfId="0">
      <alignment horizontal="left" vertical="center"/>
    </xf>
    <xf numFmtId="0" fontId="56" fillId="8" borderId="0" applyAlignment="1" pivotButton="0" quotePrefix="0" xfId="0">
      <alignment horizontal="left" vertical="center"/>
    </xf>
    <xf numFmtId="0" fontId="44" fillId="8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right" vertical="center"/>
    </xf>
    <xf numFmtId="168" fontId="15" fillId="3" borderId="1" applyAlignment="1" pivotButton="0" quotePrefix="0" xfId="0">
      <alignment horizontal="right" vertical="center"/>
    </xf>
    <xf numFmtId="168" fontId="14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168" fontId="15" fillId="5" borderId="1" applyAlignment="1" pivotButton="0" quotePrefix="0" xfId="0">
      <alignment horizontal="right" vertical="center"/>
    </xf>
    <xf numFmtId="168" fontId="14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168" fontId="17" fillId="6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2" fontId="57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164" fontId="1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1" fillId="11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164" fontId="15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164" fontId="1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/>
    </xf>
    <xf numFmtId="165" fontId="14" fillId="3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165" fontId="17" fillId="6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165" fontId="25" fillId="3" borderId="1" applyAlignment="1" pivotButton="0" quotePrefix="0" xfId="0">
      <alignment horizontal="right" vertical="center"/>
    </xf>
    <xf numFmtId="164" fontId="26" fillId="3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/>
    </xf>
    <xf numFmtId="165" fontId="25" fillId="5" borderId="1" applyAlignment="1" pivotButton="0" quotePrefix="0" xfId="0">
      <alignment horizontal="right" vertical="center"/>
    </xf>
    <xf numFmtId="164" fontId="26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general" vertical="bottom"/>
    </xf>
    <xf numFmtId="165" fontId="31" fillId="6" borderId="1" applyAlignment="1" pivotButton="0" quotePrefix="0" xfId="0">
      <alignment horizontal="right" vertical="center"/>
    </xf>
    <xf numFmtId="164" fontId="31" fillId="6" borderId="1" applyAlignment="1" pivotButton="0" quotePrefix="0" xfId="0">
      <alignment horizontal="right" vertical="center"/>
    </xf>
    <xf numFmtId="0" fontId="32" fillId="0" borderId="0" applyAlignment="1" pivotButton="0" quotePrefix="0" xfId="0">
      <alignment horizontal="general" vertical="bottom"/>
    </xf>
    <xf numFmtId="9" fontId="25" fillId="3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 wrapText="1"/>
    </xf>
    <xf numFmtId="9" fontId="25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left" vertical="center" wrapText="1"/>
    </xf>
    <xf numFmtId="9" fontId="31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10" fontId="14" fillId="3" borderId="1" applyAlignment="1" pivotButton="0" quotePrefix="0" xfId="0">
      <alignment horizontal="right" vertical="center"/>
    </xf>
    <xf numFmtId="164" fontId="15" fillId="3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0" fontId="14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general" vertical="bottom"/>
    </xf>
    <xf numFmtId="164" fontId="17" fillId="6" borderId="1" applyAlignment="1" pivotButton="0" quotePrefix="0" xfId="0">
      <alignment horizontal="right" vertical="center"/>
    </xf>
    <xf numFmtId="0" fontId="36" fillId="0" borderId="0" applyAlignment="1" pivotButton="0" quotePrefix="0" xfId="0">
      <alignment horizontal="general" vertical="bottom"/>
    </xf>
    <xf numFmtId="3" fontId="14" fillId="3" borderId="1" applyAlignment="1" pivotButton="0" quotePrefix="0" xfId="0">
      <alignment horizontal="right" vertical="center"/>
    </xf>
    <xf numFmtId="3" fontId="14" fillId="5" borderId="1" applyAlignment="1" pivotButton="0" quotePrefix="0" xfId="0">
      <alignment horizontal="right" vertical="center"/>
    </xf>
    <xf numFmtId="10" fontId="17" fillId="6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general" vertical="bottom"/>
    </xf>
    <xf numFmtId="166" fontId="25" fillId="3" borderId="1" applyAlignment="1" pivotButton="0" quotePrefix="0" xfId="0">
      <alignment horizontal="right" vertical="center"/>
    </xf>
    <xf numFmtId="166" fontId="25" fillId="5" borderId="1" applyAlignment="1" pivotButton="0" quotePrefix="0" xfId="0">
      <alignment horizontal="right" vertical="center"/>
    </xf>
    <xf numFmtId="0" fontId="37" fillId="3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38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general" vertical="bottom"/>
    </xf>
    <xf numFmtId="9" fontId="14" fillId="3" borderId="1" applyAlignment="1" pivotButton="0" quotePrefix="0" xfId="0">
      <alignment horizontal="center" vertical="center"/>
    </xf>
    <xf numFmtId="9" fontId="17" fillId="7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general" vertical="bottom"/>
    </xf>
    <xf numFmtId="9" fontId="14" fillId="5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0" fontId="17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41" fillId="3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41" fillId="5" borderId="1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43" fillId="2" borderId="0" applyAlignment="1" pivotButton="0" quotePrefix="0" xfId="0">
      <alignment horizontal="left" vertical="center"/>
    </xf>
    <xf numFmtId="0" fontId="44" fillId="2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0" fontId="46" fillId="3" borderId="0" applyAlignment="1" pivotButton="0" quotePrefix="0" xfId="0">
      <alignment horizontal="right" vertical="center"/>
    </xf>
    <xf numFmtId="0" fontId="44" fillId="3" borderId="0" applyAlignment="1" pivotButton="0" quotePrefix="0" xfId="0">
      <alignment horizontal="left" vertical="center"/>
    </xf>
    <xf numFmtId="10" fontId="47" fillId="3" borderId="0" applyAlignment="1" pivotButton="0" quotePrefix="0" xfId="0">
      <alignment horizontal="right" vertical="center"/>
    </xf>
    <xf numFmtId="167" fontId="48" fillId="3" borderId="0" applyAlignment="1" pivotButton="0" quotePrefix="0" xfId="0">
      <alignment horizontal="right" vertical="center"/>
    </xf>
    <xf numFmtId="165" fontId="49" fillId="3" borderId="0" applyAlignment="1" pivotButton="0" quotePrefix="0" xfId="0">
      <alignment horizontal="right" vertical="center"/>
    </xf>
    <xf numFmtId="10" fontId="49" fillId="3" borderId="0" applyAlignment="1" pivotButton="0" quotePrefix="0" xfId="0">
      <alignment horizontal="right" vertical="center"/>
    </xf>
    <xf numFmtId="0" fontId="50" fillId="2" borderId="0" applyAlignment="1" pivotButton="0" quotePrefix="0" xfId="0">
      <alignment horizontal="left" vertical="center"/>
    </xf>
    <xf numFmtId="0" fontId="51" fillId="3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0" fontId="46" fillId="7" borderId="0" applyAlignment="1" pivotButton="0" quotePrefix="0" xfId="0">
      <alignment horizontal="right" vertical="center"/>
    </xf>
    <xf numFmtId="0" fontId="44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wrapText="1"/>
    </xf>
    <xf numFmtId="0" fontId="47" fillId="7" borderId="0" applyAlignment="1" pivotButton="0" quotePrefix="0" xfId="0">
      <alignment horizontal="right" vertical="center"/>
    </xf>
    <xf numFmtId="0" fontId="40" fillId="7" borderId="0" applyAlignment="1" pivotButton="0" quotePrefix="0" xfId="0">
      <alignment horizontal="right" vertical="center"/>
    </xf>
    <xf numFmtId="0" fontId="38" fillId="2" borderId="0" applyAlignment="1" pivotButton="0" quotePrefix="0" xfId="0">
      <alignment horizontal="left" vertical="center"/>
    </xf>
    <xf numFmtId="167" fontId="52" fillId="3" borderId="0" applyAlignment="1" pivotButton="0" quotePrefix="0" xfId="0">
      <alignment horizontal="right" vertical="center"/>
    </xf>
    <xf numFmtId="0" fontId="53" fillId="2" borderId="0" applyAlignment="1" pivotButton="0" quotePrefix="0" xfId="0">
      <alignment horizontal="left" vertical="center"/>
    </xf>
    <xf numFmtId="0" fontId="54" fillId="2" borderId="0" applyAlignment="1" pivotButton="0" quotePrefix="0" xfId="0">
      <alignment horizontal="left" vertical="center"/>
    </xf>
    <xf numFmtId="0" fontId="55" fillId="2" borderId="0" applyAlignment="1" pivotButton="0" quotePrefix="0" xfId="0">
      <alignment horizontal="left" vertical="center"/>
    </xf>
    <xf numFmtId="0" fontId="56" fillId="8" borderId="0" applyAlignment="1" pivotButton="0" quotePrefix="0" xfId="0">
      <alignment horizontal="left" vertical="center"/>
    </xf>
    <xf numFmtId="0" fontId="44" fillId="8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right" vertical="center"/>
    </xf>
    <xf numFmtId="168" fontId="15" fillId="3" borderId="1" applyAlignment="1" pivotButton="0" quotePrefix="0" xfId="0">
      <alignment horizontal="right" vertical="center"/>
    </xf>
    <xf numFmtId="168" fontId="14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168" fontId="15" fillId="5" borderId="1" applyAlignment="1" pivotButton="0" quotePrefix="0" xfId="0">
      <alignment horizontal="right" vertical="center"/>
    </xf>
    <xf numFmtId="168" fontId="14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168" fontId="17" fillId="6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wrapText="1"/>
    </xf>
    <xf numFmtId="0" fontId="58" fillId="10" borderId="2" applyAlignment="1" pivotButton="0" quotePrefix="0" xfId="0">
      <alignment horizontal="left" vertical="center" indent="1"/>
    </xf>
    <xf numFmtId="0" fontId="0" fillId="0" borderId="3" pivotButton="0" quotePrefix="0" xfId="0"/>
    <xf numFmtId="0" fontId="59" fillId="10" borderId="0" applyAlignment="1" pivotButton="0" quotePrefix="0" xfId="0">
      <alignment horizontal="left" vertical="center" indent="2"/>
    </xf>
    <xf numFmtId="0" fontId="60" fillId="10" borderId="2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general" vertical="bottom"/>
    </xf>
    <xf numFmtId="2" fontId="57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8FAFC"/>
      <rgbColor rgb="FFFF0000"/>
      <rgbColor rgb="FF00FF00"/>
      <rgbColor rgb="FF0000FF"/>
      <rgbColor rgb="FFD0FF00"/>
      <rgbColor rgb="FFFF00FF"/>
      <rgbColor rgb="FF00FFFF"/>
      <rgbColor rgb="FF800000"/>
      <rgbColor rgb="FF008000"/>
      <rgbColor rgb="FF0E1016"/>
      <rgbColor rgb="FF808000"/>
      <rgbColor rgb="FF800080"/>
      <rgbColor rgb="FF008080"/>
      <rgbColor rgb="FFC0C0C0"/>
      <rgbColor rgb="FF878787"/>
      <rgbColor rgb="FF94A3B8"/>
      <rgbColor rgb="FFC0504D"/>
      <rgbColor rgb="FFFFF9C4"/>
      <rgbColor rgb="FFF9F9F9"/>
      <rgbColor rgb="FF660066"/>
      <rgbColor rgb="FFFF8080"/>
      <rgbColor rgb="FF0066CC"/>
      <rgbColor rgb="FFD9D9D9"/>
      <rgbColor rgb="FF0A0A0F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C842"/>
      <rgbColor rgb="FF4A90D9"/>
      <rgbColor rgb="FF5AC8A0"/>
      <rgbColor rgb="FF9BBB59"/>
      <rgbColor rgb="FFFBBF24"/>
      <rgbColor rgb="FFFF9900"/>
      <rgbColor rgb="FFF97316"/>
      <rgbColor rgb="FF4F81BD"/>
      <rgbColor rgb="FF9CA3AF"/>
      <rgbColor rgb="FF12141A"/>
      <rgbColor rgb="FF22C55E"/>
      <rgbColor rgb="FF1A2030"/>
      <rgbColor rgb="FF1A1D25"/>
      <rgbColor rgb="FF993300"/>
      <rgbColor rgb="FF8B5CF6"/>
      <rgbColor rgb="FF4A4E52"/>
      <rgbColor rgb="FF2A2D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Target Allocation by Asset Class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'🥧 Asset Allocation'!$O$12</f>
              <strCache>
                <ptCount val="1"/>
                <pt idx="0">
                  <v>Weight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1a1d25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4a90d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5ac8a0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5c842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8b5cf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4"/>
            <spPr>
              <a:solidFill xmlns:a="http://schemas.openxmlformats.org/drawingml/2006/main">
                <a:srgbClr val="f9731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'🥧 Asset Allocation'!$N$13:$N$17</f>
              <strCache>
                <ptCount val="5"/>
                <pt idx="0">
                  <v>Cash</v>
                </pt>
                <pt idx="1">
                  <v>Bonds</v>
                </pt>
                <pt idx="2">
                  <v>Gold</v>
                </pt>
                <pt idx="3">
                  <v>Equities</v>
                </pt>
                <pt idx="4">
                  <v>Bitcoin</v>
                </pt>
              </strCache>
            </strRef>
          </cat>
          <val>
            <numRef>
              <f>'🥧 Asset Allocation'!$O$13:$O$17</f>
              <numCache>
                <formatCode>General</formatCode>
                <ptCount val="5"/>
                <pt idx="0">
                  <v>0.25</v>
                </pt>
                <pt idx="1">
                  <v>0.15</v>
                </pt>
                <pt idx="2">
                  <v>0.2</v>
                </pt>
                <pt idx="3">
                  <v>0.3</v>
                </pt>
                <pt idx="4">
                  <v>0.1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Allocation by Amount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'🥧 Asset Allocation'!$D$4</f>
              <strCache>
                <ptCount val="1"/>
                <pt idx="0">
                  <v>Amount (USD)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'🥧 Asset Allocation'!$N$13:$N$17</f>
              <strCache>
                <ptCount val="5"/>
                <pt idx="0">
                  <v>Cash</v>
                </pt>
                <pt idx="1">
                  <v>Bonds</v>
                </pt>
                <pt idx="2">
                  <v>Gold</v>
                </pt>
                <pt idx="3">
                  <v>Equities</v>
                </pt>
                <pt idx="4">
                  <v>Bitcoin</v>
                </pt>
              </strCache>
            </strRef>
          </cat>
          <val>
            <numRef>
              <f>'🥧 Asset Allocation'!$D$5:$D$9</f>
              <numCache>
                <formatCode>\$#,##0</formatCode>
                <ptCount val="5"/>
                <pt idx="0">
                  <v>115000</v>
                </pt>
                <pt idx="1">
                  <v>69000</v>
                </pt>
                <pt idx="2">
                  <v>92000</v>
                </pt>
                <pt idx="3">
                  <v>138000</v>
                </pt>
                <pt idx="4">
                  <v>46000</v>
                </pt>
              </numCache>
            </numRef>
          </val>
        </ser>
        <gapWidth val="150"/>
        <overlap val="0"/>
        <axId val="60665194"/>
        <axId val="75923167"/>
      </barChart>
      <catAx>
        <axId val="6066519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Asset Class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5923167"/>
        <crosses val="autoZero"/>
        <auto val="1"/>
        <lblAlgn val="ctr"/>
        <lblOffset val="100"/>
        <noMultiLvlLbl val="0"/>
      </catAx>
      <valAx>
        <axId val="7592316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066519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Gaveta Allocations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'🗂 Gavetas'!$C$20</f>
              <strCache>
                <ptCount val="1"/>
                <pt idx="0">
                  <v>USD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'🗂 Gavetas'!$B$21:$B$24</f>
              <strCache>
                <ptCount val="4"/>
                <pt idx="0">
                  <v>Preservation &amp; Optionality</v>
                </pt>
                <pt idx="1">
                  <v>Convex Growth: Equities (VISA)</v>
                </pt>
                <pt idx="2">
                  <v>Convex Growth: Crypto (CFM)</v>
                </pt>
                <pt idx="3">
                  <v>Tactical Brazil</v>
                </pt>
              </strCache>
            </strRef>
          </cat>
          <val>
            <numRef>
              <f>'🗂 Gavetas'!$C$21:$C$24</f>
              <numCache>
                <formatCode>General</formatCode>
                <ptCount val="4"/>
                <pt idx="0">
                  <v>276000</v>
                </pt>
                <pt idx="1">
                  <v>138000</v>
                </pt>
                <pt idx="2">
                  <v>46000</v>
                </pt>
                <pt idx="3">
                  <v>0</v>
                </pt>
              </numCache>
            </numRef>
          </val>
        </ser>
        <gapWidth val="150"/>
        <overlap val="0"/>
        <axId val="28570807"/>
        <axId val="59073586"/>
      </barChart>
      <catAx>
        <axId val="2857080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9073586"/>
        <crosses val="autoZero"/>
        <auto val="1"/>
        <lblAlgn val="ctr"/>
        <lblOffset val="100"/>
        <noMultiLvlLbl val="0"/>
      </catAx>
      <valAx>
        <axId val="5907358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857080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Equities Allocation by Ticker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'📈 Equities VISA'!$L$4</f>
              <strCache>
                <ptCount val="1"/>
                <pt idx="0">
                  <v>Alloc USD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'📈 Equities VISA'!$K$5:$K$19</f>
              <strCache>
                <ptCount val="15"/>
                <pt idx="0">
                  <v>TFLO</v>
                </pt>
                <pt idx="1">
                  <v>EWZ</v>
                </pt>
                <pt idx="2">
                  <v>SPY</v>
                </pt>
                <pt idx="3">
                  <v>GDX</v>
                </pt>
                <pt idx="4">
                  <v>XLU</v>
                </pt>
                <pt idx="5">
                  <v>VXX</v>
                </pt>
                <pt idx="6">
                  <v>FXI</v>
                </pt>
                <pt idx="7">
                  <v>EWH</v>
                </pt>
                <pt idx="8">
                  <v>BABA</v>
                </pt>
                <pt idx="9">
                  <v>BIDU</v>
                </pt>
                <pt idx="10">
                  <v>MSTR</v>
                </pt>
                <pt idx="11">
                  <v>RIOT</v>
                </pt>
                <pt idx="12">
                  <v>CLSK</v>
                </pt>
                <pt idx="13">
                  <v>COIN</v>
                </pt>
                <pt idx="14">
                  <v>TSLA</v>
                </pt>
              </strCache>
            </strRef>
          </cat>
          <val>
            <numRef>
              <f>'📈 Equities VISA'!$L$5:$L$19</f>
              <numCache>
                <formatCode>General</formatCode>
                <ptCount val="15"/>
                <pt idx="0">
                  <v>69000</v>
                </pt>
                <pt idx="1">
                  <v>7590</v>
                </pt>
                <pt idx="2">
                  <v>6210</v>
                </pt>
                <pt idx="3">
                  <v>6210</v>
                </pt>
                <pt idx="4">
                  <v>3105</v>
                </pt>
                <pt idx="5">
                  <v>3105</v>
                </pt>
                <pt idx="6">
                  <v>6900</v>
                </pt>
                <pt idx="7">
                  <v>6900</v>
                </pt>
                <pt idx="8">
                  <v>6900</v>
                </pt>
                <pt idx="9">
                  <v>6900</v>
                </pt>
                <pt idx="10">
                  <v>2760</v>
                </pt>
                <pt idx="11">
                  <v>2760</v>
                </pt>
                <pt idx="12">
                  <v>2760</v>
                </pt>
                <pt idx="13">
                  <v>2760</v>
                </pt>
                <pt idx="14">
                  <v>4140</v>
                </pt>
              </numCache>
            </numRef>
          </val>
        </ser>
        <gapWidth val="150"/>
        <overlap val="0"/>
        <axId val="64332104"/>
        <axId val="88396909"/>
      </barChart>
      <catAx>
        <axId val="643321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396909"/>
        <crosses val="autoZero"/>
        <auto val="1"/>
        <lblAlgn val="ctr"/>
        <lblOffset val="100"/>
        <noMultiLvlLbl val="0"/>
      </catAx>
      <valAx>
        <axId val="8839690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43321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Crypto Allocation by Coin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'₿ Crypto CFM'!$K$4</f>
              <strCache>
                <ptCount val="1"/>
                <pt idx="0">
                  <v>Alloc USD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f9731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8b5cf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9ca3af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4a90d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lang="en-US"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'₿ Crypto CFM'!$J$5:$J$8</f>
              <strCache>
                <ptCount val="4"/>
                <pt idx="0">
                  <v>BTC</v>
                </pt>
                <pt idx="1">
                  <v>ETH</v>
                </pt>
                <pt idx="2">
                  <v>LTC</v>
                </pt>
                <pt idx="3">
                  <v>LINK</v>
                </pt>
              </strCache>
            </strRef>
          </cat>
          <val>
            <numRef>
              <f>'₿ Crypto CFM'!$K$5:$K$8</f>
              <numCache>
                <formatCode>General</formatCode>
                <ptCount val="4"/>
                <pt idx="0">
                  <v>36800</v>
                </pt>
                <pt idx="1">
                  <v>5750</v>
                </pt>
                <pt idx="2">
                  <v>2576</v>
                </pt>
                <pt idx="3">
                  <v>874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Target Weights by Regime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"Liquidity Crisis"</f>
              <strCache>
                <ptCount val="1"/>
                <pt idx="0">
                  <v>Liquidity Crisis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'⚡ Regime &amp; Risk'!$H$10:$H$14</f>
              <strCache>
                <ptCount val="5"/>
                <pt idx="0">
                  <v>Cash</v>
                </pt>
                <pt idx="1">
                  <v>Bonds</v>
                </pt>
                <pt idx="2">
                  <v>Gold</v>
                </pt>
                <pt idx="3">
                  <v>Equities</v>
                </pt>
                <pt idx="4">
                  <v>Bitcoin</v>
                </pt>
              </strCache>
            </strRef>
          </cat>
          <val>
            <numRef>
              <f>'⚡ Regime &amp; Risk'!$I$9:$I$14</f>
              <numCache>
                <formatCode>General</formatCode>
                <ptCount val="6"/>
                <pt idx="1">
                  <v>0.35</v>
                </pt>
                <pt idx="2">
                  <v>0.25</v>
                </pt>
                <pt idx="3">
                  <v>0.2</v>
                </pt>
                <pt idx="4">
                  <v>0.15</v>
                </pt>
                <pt idx="5">
                  <v>0.05</v>
                </pt>
              </numCache>
            </numRef>
          </val>
        </ser>
        <ser>
          <idx val="1"/>
          <order val="1"/>
          <tx>
            <strRef>
              <f>"Defensive Convex"</f>
              <strCache>
                <ptCount val="1"/>
                <pt idx="0">
                  <v>Defensive Convex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'⚡ Regime &amp; Risk'!$H$10:$H$14</f>
              <strCache>
                <ptCount val="5"/>
                <pt idx="0">
                  <v>Cash</v>
                </pt>
                <pt idx="1">
                  <v>Bonds</v>
                </pt>
                <pt idx="2">
                  <v>Gold</v>
                </pt>
                <pt idx="3">
                  <v>Equities</v>
                </pt>
                <pt idx="4">
                  <v>Bitcoin</v>
                </pt>
              </strCache>
            </strRef>
          </cat>
          <val>
            <numRef>
              <f>'⚡ Regime &amp; Risk'!$J$9:$J$14</f>
              <numCache>
                <formatCode>General</formatCode>
                <ptCount val="6"/>
                <pt idx="1">
                  <v>0.25</v>
                </pt>
                <pt idx="2">
                  <v>0.15</v>
                </pt>
                <pt idx="3">
                  <v>0.2</v>
                </pt>
                <pt idx="4">
                  <v>0.3</v>
                </pt>
                <pt idx="5">
                  <v>0.1</v>
                </pt>
              </numCache>
            </numRef>
          </val>
        </ser>
        <ser>
          <idx val="2"/>
          <order val="2"/>
          <tx>
            <strRef>
              <f>"Expansion"</f>
              <strCache>
                <ptCount val="1"/>
                <pt idx="0">
                  <v>Expansion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lang="en-US"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'⚡ Regime &amp; Risk'!$H$10:$H$14</f>
              <strCache>
                <ptCount val="5"/>
                <pt idx="0">
                  <v>Cash</v>
                </pt>
                <pt idx="1">
                  <v>Bonds</v>
                </pt>
                <pt idx="2">
                  <v>Gold</v>
                </pt>
                <pt idx="3">
                  <v>Equities</v>
                </pt>
                <pt idx="4">
                  <v>Bitcoin</v>
                </pt>
              </strCache>
            </strRef>
          </cat>
          <val>
            <numRef>
              <f>'⚡ Regime &amp; Risk'!$K$9:$K$14</f>
              <numCache>
                <formatCode>General</formatCode>
                <ptCount val="6"/>
                <pt idx="1">
                  <v>0.15</v>
                </pt>
                <pt idx="2">
                  <v>0.1</v>
                </pt>
                <pt idx="3">
                  <v>0.15</v>
                </pt>
                <pt idx="4">
                  <v>0.4</v>
                </pt>
                <pt idx="5">
                  <v>0.2</v>
                </pt>
              </numCache>
            </numRef>
          </val>
        </ser>
        <gapWidth val="150"/>
        <overlap val="0"/>
        <axId val="55778336"/>
        <axId val="68468604"/>
      </barChart>
      <catAx>
        <axId val="5577833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8468604"/>
        <crosses val="autoZero"/>
        <auto val="1"/>
        <lblAlgn val="ctr"/>
        <lblOffset val="100"/>
        <noMultiLvlLbl val="0"/>
      </catAx>
      <valAx>
        <axId val="684686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Weight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57783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</row>
      <rowOff>0</rowOff>
    </from>
    <to>
      <col>5</col>
      <colOff>739440</colOff>
      <row>37</row>
      <rowOff>86040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11</row>
      <rowOff>0</rowOff>
    </from>
    <to>
      <col>17</col>
      <colOff>146880</colOff>
      <row>33</row>
      <rowOff>127800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19</row>
      <rowOff>0</rowOff>
    </from>
    <to>
      <col>4</col>
      <colOff>1827000</colOff>
      <row>45</row>
      <rowOff>86040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27</row>
      <rowOff>0</rowOff>
    </from>
    <to>
      <col>6</col>
      <colOff>2491560</colOff>
      <row>53</row>
      <rowOff>86040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0</colOff>
      <row>16</row>
      <rowOff>0</rowOff>
    </from>
    <to>
      <col>5</col>
      <colOff>873000</colOff>
      <row>38</row>
      <rowOff>127800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7</col>
      <colOff>0</colOff>
      <row>16</row>
      <rowOff>0</rowOff>
    </from>
    <to>
      <col>18</col>
      <colOff>472320</colOff>
      <row>41</row>
      <rowOff>9720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campinas_real_estate_monitor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campinas_real_estate_monitor.html" TargetMode="External" Id="rId1"/></Relationships>
</file>

<file path=xl/worksheets/sheet1.xml><?xml version="1.0" encoding="utf-8"?>
<worksheet xmlns="http://schemas.openxmlformats.org/spreadsheetml/2006/main">
  <sheetPr filterMode="0">
    <tabColor rgb="FFC0C0C0"/>
    <outlinePr summaryBelow="1" summaryRight="1"/>
    <pageSetUpPr fitToPage="0"/>
  </sheetPr>
  <dimension ref="A1:K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" customWidth="1" style="148" min="1" max="1"/>
    <col width="26" customWidth="1" style="148" min="2" max="2"/>
    <col width="14" customWidth="1" style="148" min="3" max="3"/>
    <col width="16" customWidth="1" style="148" min="4" max="4"/>
    <col width="14" customWidth="1" style="148" min="5" max="5"/>
    <col width="18" customWidth="1" style="148" min="6" max="6"/>
    <col width="14" customWidth="1" style="148" min="7" max="7"/>
    <col width="30" customWidth="1" style="148" min="8" max="8"/>
    <col width="14" customWidth="1" style="148" min="9" max="10"/>
    <col width="25" customWidth="1" style="149" min="10" max="10"/>
    <col width="2" customWidth="1" style="148" min="11" max="11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</row>
    <row r="2" ht="21.75" customHeight="1" s="149">
      <c r="A2" s="150" t="n"/>
      <c r="B2" s="151" t="inlineStr">
        <is>
          <t>GIOVANNINI MARE CAPITAL</t>
        </is>
      </c>
      <c r="K2" s="150" t="n"/>
    </row>
    <row r="3" ht="21.75" customHeight="1" s="149">
      <c r="A3" s="150" t="n"/>
      <c r="B3" s="152" t="inlineStr">
        <is>
          <t>GMC Convex Portfolio  ·  Q1 2026  ·  Defensive Convex Regime</t>
        </is>
      </c>
      <c r="K3" s="150" t="n"/>
    </row>
    <row r="4" ht="21.75" customHeight="1" s="149">
      <c r="A4" s="150" t="n"/>
      <c r="B4" s="153" t="inlineStr">
        <is>
          <t>As of: March 19, 2026   |   Base Currency: USD   |   Owner: Single Family Office</t>
        </is>
      </c>
      <c r="K4" s="150" t="n"/>
    </row>
    <row r="5" ht="7.5" customHeight="1" s="149">
      <c r="A5" s="150" t="n"/>
      <c r="B5" s="150" t="n"/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</row>
    <row r="6" ht="6" customHeight="1" s="149"/>
    <row r="7" ht="18" customHeight="1" s="149">
      <c r="B7" s="154" t="inlineStr">
        <is>
          <t>KEY METRICS</t>
        </is>
      </c>
    </row>
    <row r="8" ht="21.75" customHeight="1" s="149">
      <c r="A8" s="150" t="n"/>
      <c r="B8" s="155" t="inlineStr">
        <is>
          <t>TOTAL PORTFOLIO (USD)</t>
        </is>
      </c>
      <c r="F8" s="155" t="inlineStr">
        <is>
          <t>LIQUID CAPITAL (USD)</t>
        </is>
      </c>
      <c r="J8" s="150" t="n"/>
      <c r="K8" s="150" t="n"/>
    </row>
    <row r="9" ht="21.75" customHeight="1" s="149">
      <c r="A9" s="150" t="n"/>
      <c r="B9" s="156" t="inlineStr">
        <is>
          <t>$1,646,000</t>
        </is>
      </c>
      <c r="F9" s="157" t="inlineStr">
        <is>
          <t>$460,000</t>
        </is>
      </c>
      <c r="J9" s="150" t="n"/>
      <c r="K9" s="150" t="n"/>
    </row>
    <row r="10" ht="21.75" customHeight="1" s="149">
      <c r="A10" s="150" t="n"/>
      <c r="B10" s="158" t="inlineStr">
        <is>
          <t>Real estate + liquid</t>
        </is>
      </c>
      <c r="F10" s="158" t="inlineStr">
        <is>
          <t>IBKR + Physical Gold</t>
        </is>
      </c>
      <c r="J10" s="150" t="n"/>
      <c r="K10" s="150" t="n"/>
    </row>
    <row r="11" ht="21.75" customHeight="1" s="149">
      <c r="A11" s="150" t="n"/>
      <c r="B11" s="150" t="n"/>
      <c r="C11" s="150" t="n"/>
      <c r="D11" s="150" t="n"/>
      <c r="E11" s="150" t="n"/>
      <c r="F11" s="150" t="n"/>
      <c r="G11" s="150" t="n"/>
      <c r="H11" s="150" t="n"/>
      <c r="I11" s="150" t="n"/>
      <c r="J11" s="150" t="n"/>
      <c r="K11" s="150" t="n"/>
    </row>
    <row r="12" ht="6" customHeight="1" s="149"/>
    <row r="13" ht="21.75" customHeight="1" s="149">
      <c r="A13" s="150" t="n"/>
      <c r="B13" s="155" t="inlineStr">
        <is>
          <t>MACRO REGIME</t>
        </is>
      </c>
      <c r="F13" s="155" t="inlineStr">
        <is>
          <t>STRATEGY STYLE</t>
        </is>
      </c>
      <c r="J13" s="150" t="n"/>
      <c r="K13" s="150" t="n"/>
    </row>
    <row r="14" ht="21.75" customHeight="1" s="149">
      <c r="A14" s="150" t="n"/>
      <c r="B14" s="159" t="inlineStr">
        <is>
          <t>Carry Favorable · BRL</t>
        </is>
      </c>
      <c r="F14" s="160" t="inlineStr">
        <is>
          <t>Macro Driven / Regime Aware</t>
        </is>
      </c>
      <c r="J14" s="150" t="n"/>
      <c r="K14" s="150" t="n"/>
    </row>
    <row r="15" ht="21.75" customHeight="1" s="149">
      <c r="A15" s="150" t="n"/>
      <c r="B15" s="161" t="inlineStr">
        <is>
          <t>SELIC 14.75% vs Fed 3.64% · Spread +11.11pp</t>
        </is>
      </c>
      <c r="F15" s="158" t="inlineStr">
        <is>
          <t>Convex asymmetry</t>
        </is>
      </c>
      <c r="J15" s="150" t="n"/>
      <c r="K15" s="150" t="n"/>
    </row>
    <row r="16" ht="6" customHeight="1" s="149"/>
    <row r="17" ht="18" customHeight="1" s="149">
      <c r="B17" s="154" t="inlineStr">
        <is>
          <t>CURRENT PORTFOLIO SNAPSHOT</t>
        </is>
      </c>
    </row>
    <row r="18" ht="15.75" customHeight="1" s="149">
      <c r="B18" s="162" t="inlineStr">
        <is>
          <t>Asset</t>
        </is>
      </c>
      <c r="C18" s="162" t="inlineStr">
        <is>
          <t>Value (USD)</t>
        </is>
      </c>
      <c r="D18" s="162" t="inlineStr">
        <is>
          <t>Gaveta</t>
        </is>
      </c>
      <c r="F18" s="162" t="inlineStr">
        <is>
          <t>Role</t>
        </is>
      </c>
      <c r="H18" s="162" t="inlineStr">
        <is>
          <t>Signal</t>
        </is>
      </c>
    </row>
    <row r="19" ht="15.75" customHeight="1" s="149">
      <c r="B19" s="163" t="inlineStr">
        <is>
          <t>Real Estate (Brazil)</t>
        </is>
      </c>
      <c r="C19" s="164" t="n">
        <v>1178000</v>
      </c>
      <c r="D19" s="163" t="inlineStr">
        <is>
          <t>Tactical Brazil</t>
        </is>
      </c>
      <c r="E19" s="165" t="n"/>
      <c r="F19" s="163" t="inlineStr">
        <is>
          <t>Illiquid duration</t>
        </is>
      </c>
      <c r="G19" s="165" t="n"/>
      <c r="H19" s="163" t="inlineStr">
        <is>
          <t>Structural hold; underweight tactically</t>
        </is>
      </c>
      <c r="I19" s="165" t="n"/>
      <c r="J19" s="166" t="inlineStr">
        <is>
          <t>📊 Monitor Campinas →</t>
        </is>
      </c>
    </row>
    <row r="20" ht="15.75" customHeight="1" s="149">
      <c r="B20" s="167" t="inlineStr">
        <is>
          <t>Cash (IBKR)</t>
        </is>
      </c>
      <c r="C20" s="168" t="n">
        <v>460000</v>
      </c>
      <c r="D20" s="167" t="inlineStr">
        <is>
          <t>Preservation</t>
        </is>
      </c>
      <c r="E20" s="169" t="n"/>
      <c r="F20" s="167" t="inlineStr">
        <is>
          <t>Liquidity reserve</t>
        </is>
      </c>
      <c r="G20" s="169" t="n"/>
      <c r="H20" s="167" t="inlineStr">
        <is>
          <t>Deploy per optimization</t>
        </is>
      </c>
      <c r="I20" s="169" t="n"/>
      <c r="J20" s="169" t="n"/>
    </row>
    <row r="21" ht="15.75" customHeight="1" s="149">
      <c r="B21" s="163" t="inlineStr">
        <is>
          <t>Physical Gold (3.2 oz)</t>
        </is>
      </c>
      <c r="C21" s="164" t="n">
        <v>8000</v>
      </c>
      <c r="D21" s="163" t="inlineStr">
        <is>
          <t>Preservation</t>
        </is>
      </c>
      <c r="E21" s="165" t="n"/>
      <c r="F21" s="163" t="inlineStr">
        <is>
          <t>Anti-fragile reserve</t>
        </is>
      </c>
      <c r="G21" s="165" t="n"/>
      <c r="H21" s="163" t="inlineStr">
        <is>
          <t>Hold; geo hedge intact</t>
        </is>
      </c>
      <c r="I21" s="165" t="n"/>
      <c r="J21" s="165" t="n"/>
    </row>
    <row r="22" ht="15.75" customHeight="1" s="149">
      <c r="B22" s="170" t="inlineStr">
        <is>
          <t>TOTAL</t>
        </is>
      </c>
      <c r="C22" s="171">
        <f>SUM(C19:C21)</f>
        <v/>
      </c>
      <c r="D22" s="172" t="n"/>
      <c r="E22" s="172" t="n"/>
      <c r="F22" s="172" t="n"/>
      <c r="G22" s="172" t="n"/>
      <c r="H22" s="172" t="n"/>
      <c r="I22" s="172" t="n"/>
      <c r="J22" s="172" t="n"/>
    </row>
    <row r="23" ht="6" customHeight="1" s="149"/>
    <row r="24" ht="18" customHeight="1" s="149">
      <c r="B24" s="154" t="inlineStr">
        <is>
          <t>CONVEX USD SLEEVE — TARGET ALLOCATION</t>
        </is>
      </c>
    </row>
    <row r="25" ht="15.75" customHeight="1" s="149">
      <c r="B25" s="162" t="inlineStr">
        <is>
          <t>Asset Class</t>
        </is>
      </c>
      <c r="C25" s="162" t="inlineStr">
        <is>
          <t>Target %</t>
        </is>
      </c>
      <c r="D25" s="162" t="inlineStr">
        <is>
          <t>Amount (USD)</t>
        </is>
      </c>
      <c r="E25" s="162" t="inlineStr">
        <is>
          <t>Min %</t>
        </is>
      </c>
      <c r="F25" s="162" t="inlineStr">
        <is>
          <t>Max %</t>
        </is>
      </c>
      <c r="G25" s="162" t="inlineStr">
        <is>
          <t>Role</t>
        </is>
      </c>
    </row>
    <row r="26" ht="15.75" customHeight="1" s="149">
      <c r="B26" s="173" t="inlineStr">
        <is>
          <t>Cash</t>
        </is>
      </c>
      <c r="C26" s="174" t="n">
        <v>0.25</v>
      </c>
      <c r="D26" s="164" t="n">
        <v>115000</v>
      </c>
      <c r="E26" s="174" t="n">
        <v>0.15</v>
      </c>
      <c r="F26" s="174" t="n">
        <v>0.35</v>
      </c>
      <c r="G26" s="163" t="inlineStr">
        <is>
          <t>Liquidity &amp; optionality reserve</t>
        </is>
      </c>
    </row>
    <row r="27" ht="15.75" customHeight="1" s="149">
      <c r="B27" s="175" t="inlineStr">
        <is>
          <t>Bonds</t>
        </is>
      </c>
      <c r="C27" s="176" t="n">
        <v>0.15</v>
      </c>
      <c r="D27" s="168" t="n">
        <v>69000</v>
      </c>
      <c r="E27" s="176" t="n">
        <v>0.1</v>
      </c>
      <c r="F27" s="176" t="n">
        <v>0.25</v>
      </c>
      <c r="G27" s="167" t="inlineStr">
        <is>
          <t>Risk-off ballast &amp; yield capture</t>
        </is>
      </c>
    </row>
    <row r="28" ht="15.75" customHeight="1" s="149">
      <c r="B28" s="177" t="inlineStr">
        <is>
          <t>Gold</t>
        </is>
      </c>
      <c r="C28" s="174" t="n">
        <v>0.2</v>
      </c>
      <c r="D28" s="164" t="n">
        <v>92000</v>
      </c>
      <c r="E28" s="174" t="n">
        <v>0.15</v>
      </c>
      <c r="F28" s="174" t="n">
        <v>0.35</v>
      </c>
      <c r="G28" s="163" t="inlineStr">
        <is>
          <t>Anti-fragile / debasement hedge</t>
        </is>
      </c>
    </row>
    <row r="29" ht="15.75" customHeight="1" s="149">
      <c r="B29" s="178" t="inlineStr">
        <is>
          <t>Equities</t>
        </is>
      </c>
      <c r="C29" s="176" t="n">
        <v>0.3</v>
      </c>
      <c r="D29" s="168" t="n">
        <v>138000</v>
      </c>
      <c r="E29" s="176" t="n">
        <v>0.15</v>
      </c>
      <c r="F29" s="176" t="n">
        <v>0.4</v>
      </c>
      <c r="G29" s="167" t="inlineStr">
        <is>
          <t>Selective global growth exposure</t>
        </is>
      </c>
    </row>
    <row r="30" ht="15.75" customHeight="1" s="149">
      <c r="B30" s="179" t="inlineStr">
        <is>
          <t>Bitcoin</t>
        </is>
      </c>
      <c r="C30" s="174" t="n">
        <v>0.1</v>
      </c>
      <c r="D30" s="164" t="n">
        <v>46000</v>
      </c>
      <c r="E30" s="174" t="n">
        <v>0.05</v>
      </c>
      <c r="F30" s="174" t="n">
        <v>0.2</v>
      </c>
      <c r="G30" s="163" t="inlineStr">
        <is>
          <t>Convex asymmetric optionality</t>
        </is>
      </c>
    </row>
    <row r="31" ht="15.75" customHeight="1" s="149">
      <c r="B31" s="170" t="inlineStr">
        <is>
          <t>TOTAL</t>
        </is>
      </c>
      <c r="C31" s="180">
        <f>SUM(C26:C30)</f>
        <v/>
      </c>
      <c r="D31" s="171">
        <f>SUM(D26:D30)</f>
        <v/>
      </c>
      <c r="E31" s="172" t="n"/>
      <c r="F31" s="172" t="n"/>
      <c r="G31" s="172" t="n"/>
    </row>
  </sheetData>
  <mergeCells count="18">
    <mergeCell ref="F14:I14"/>
    <mergeCell ref="B7:J7"/>
    <mergeCell ref="F13:I13"/>
    <mergeCell ref="B9:E9"/>
    <mergeCell ref="B3:J3"/>
    <mergeCell ref="B8:E8"/>
    <mergeCell ref="F9:I9"/>
    <mergeCell ref="F8:I8"/>
    <mergeCell ref="B13:E13"/>
    <mergeCell ref="B15:E15"/>
    <mergeCell ref="B17:J17"/>
    <mergeCell ref="F15:I15"/>
    <mergeCell ref="B4:J4"/>
    <mergeCell ref="B10:E10"/>
    <mergeCell ref="B2:J2"/>
    <mergeCell ref="F10:I10"/>
    <mergeCell ref="B24:J24"/>
    <mergeCell ref="B14:E14"/>
  </mergeCells>
  <hyperlinks>
    <hyperlink xmlns:r="http://schemas.openxmlformats.org/officeDocument/2006/relationships" ref="J19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A90D9"/>
    <outlinePr summaryBelow="1" summaryRight="1"/>
    <pageSetUpPr fitToPage="0"/>
  </sheetPr>
  <dimension ref="A1:S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8" customWidth="1" style="148" min="2" max="2"/>
    <col width="14" customWidth="1" style="148" min="3" max="3"/>
    <col width="16" customWidth="1" style="148" min="4" max="4"/>
    <col width="13" customWidth="1" style="148" min="5" max="7"/>
    <col width="12" customWidth="1" style="148" min="8" max="8"/>
    <col width="32" customWidth="1" style="148" min="9" max="9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</row>
    <row r="2" ht="25.5" customHeight="1" s="149">
      <c r="A2" s="150" t="n"/>
      <c r="B2" s="181" t="inlineStr">
        <is>
          <t>ASSET ALLOCATION — GMC CONVEX PORTFOLIO</t>
        </is>
      </c>
      <c r="S2" s="150" t="n"/>
    </row>
    <row r="3" ht="6" customHeight="1" s="149"/>
    <row r="4" ht="18" customHeight="1" s="149">
      <c r="B4" s="182" t="inlineStr">
        <is>
          <t>Asset Class</t>
        </is>
      </c>
      <c r="C4" s="182" t="inlineStr">
        <is>
          <t>Target Weight</t>
        </is>
      </c>
      <c r="D4" s="182" t="inlineStr">
        <is>
          <t>Amount (USD)</t>
        </is>
      </c>
      <c r="E4" s="182" t="inlineStr">
        <is>
          <t>Min Weight</t>
        </is>
      </c>
      <c r="F4" s="182" t="inlineStr">
        <is>
          <t>Max Weight</t>
        </is>
      </c>
      <c r="G4" s="182" t="inlineStr">
        <is>
          <t>Volatility</t>
        </is>
      </c>
      <c r="H4" s="182" t="inlineStr">
        <is>
          <t>Liquidity</t>
        </is>
      </c>
      <c r="I4" s="182" t="inlineStr">
        <is>
          <t>Role</t>
        </is>
      </c>
    </row>
    <row r="5" ht="18" customHeight="1" s="149">
      <c r="B5" s="183" t="inlineStr">
        <is>
          <t>Cash</t>
        </is>
      </c>
      <c r="C5" s="184" t="n">
        <v>0.25</v>
      </c>
      <c r="D5" s="185" t="n">
        <v>115000</v>
      </c>
      <c r="E5" s="184" t="n">
        <v>0.15</v>
      </c>
      <c r="F5" s="184" t="n">
        <v>0.35</v>
      </c>
      <c r="G5" s="186" t="inlineStr">
        <is>
          <t>Very Low</t>
        </is>
      </c>
      <c r="H5" s="186" t="inlineStr">
        <is>
          <t>Immediate</t>
        </is>
      </c>
      <c r="I5" s="186" t="inlineStr">
        <is>
          <t>Liquidity &amp; optionality reserve</t>
        </is>
      </c>
    </row>
    <row r="6" ht="18" customHeight="1" s="149">
      <c r="B6" s="187" t="inlineStr">
        <is>
          <t>Bonds</t>
        </is>
      </c>
      <c r="C6" s="188" t="n">
        <v>0.15</v>
      </c>
      <c r="D6" s="189" t="n">
        <v>69000</v>
      </c>
      <c r="E6" s="188" t="n">
        <v>0.1</v>
      </c>
      <c r="F6" s="188" t="n">
        <v>0.25</v>
      </c>
      <c r="G6" s="190" t="inlineStr">
        <is>
          <t>Low</t>
        </is>
      </c>
      <c r="H6" s="190" t="inlineStr">
        <is>
          <t>High</t>
        </is>
      </c>
      <c r="I6" s="190" t="inlineStr">
        <is>
          <t>Risk-off ballast &amp; yield capture</t>
        </is>
      </c>
    </row>
    <row r="7" ht="18" customHeight="1" s="149">
      <c r="B7" s="191" t="inlineStr">
        <is>
          <t>Gold</t>
        </is>
      </c>
      <c r="C7" s="184" t="n">
        <v>0.2</v>
      </c>
      <c r="D7" s="185" t="n">
        <v>92000</v>
      </c>
      <c r="E7" s="184" t="n">
        <v>0.15</v>
      </c>
      <c r="F7" s="184" t="n">
        <v>0.35</v>
      </c>
      <c r="G7" s="186" t="inlineStr">
        <is>
          <t>Medium</t>
        </is>
      </c>
      <c r="H7" s="186" t="inlineStr">
        <is>
          <t>High</t>
        </is>
      </c>
      <c r="I7" s="186" t="inlineStr">
        <is>
          <t>Anti-fragile / debasement hedge</t>
        </is>
      </c>
    </row>
    <row r="8" ht="18" customHeight="1" s="149">
      <c r="B8" s="192" t="inlineStr">
        <is>
          <t>Equities</t>
        </is>
      </c>
      <c r="C8" s="188" t="n">
        <v>0.3</v>
      </c>
      <c r="D8" s="189" t="n">
        <v>138000</v>
      </c>
      <c r="E8" s="188" t="n">
        <v>0.15</v>
      </c>
      <c r="F8" s="188" t="n">
        <v>0.4</v>
      </c>
      <c r="G8" s="190" t="inlineStr">
        <is>
          <t>Medium-Hi</t>
        </is>
      </c>
      <c r="H8" s="190" t="inlineStr">
        <is>
          <t>High</t>
        </is>
      </c>
      <c r="I8" s="190" t="inlineStr">
        <is>
          <t>Selective global growth exposure</t>
        </is>
      </c>
    </row>
    <row r="9" ht="18" customHeight="1" s="149">
      <c r="B9" s="193" t="inlineStr">
        <is>
          <t>Bitcoin</t>
        </is>
      </c>
      <c r="C9" s="184" t="n">
        <v>0.1</v>
      </c>
      <c r="D9" s="185" t="n">
        <v>46000</v>
      </c>
      <c r="E9" s="184" t="n">
        <v>0.05</v>
      </c>
      <c r="F9" s="184" t="n">
        <v>0.2</v>
      </c>
      <c r="G9" s="186" t="inlineStr">
        <is>
          <t>High</t>
        </is>
      </c>
      <c r="H9" s="186" t="inlineStr">
        <is>
          <t>High</t>
        </is>
      </c>
      <c r="I9" s="186" t="inlineStr">
        <is>
          <t>Convex asymmetric optionality</t>
        </is>
      </c>
    </row>
    <row r="10" ht="18" customHeight="1" s="149">
      <c r="B10" s="194" t="inlineStr">
        <is>
          <t>TOTAL</t>
        </is>
      </c>
      <c r="C10" s="195">
        <f>SUM(C5:C9)</f>
        <v/>
      </c>
      <c r="D10" s="196">
        <f>SUM(D5:D9)</f>
        <v/>
      </c>
    </row>
    <row r="12" ht="15" customHeight="1" s="149">
      <c r="N12" s="197" t="inlineStr">
        <is>
          <t>Asset Class</t>
        </is>
      </c>
      <c r="O12" s="197" t="inlineStr">
        <is>
          <t>Weight %</t>
        </is>
      </c>
    </row>
    <row r="13" ht="16.5" customHeight="1" s="149">
      <c r="N13" s="148" t="inlineStr">
        <is>
          <t>Cash</t>
        </is>
      </c>
      <c r="O13" s="148" t="n">
        <v>0.25</v>
      </c>
    </row>
    <row r="14" ht="16.5" customHeight="1" s="149">
      <c r="N14" s="148" t="inlineStr">
        <is>
          <t>Bonds</t>
        </is>
      </c>
      <c r="O14" s="148" t="n">
        <v>0.15</v>
      </c>
    </row>
    <row r="15" ht="16.5" customHeight="1" s="149">
      <c r="N15" s="148" t="inlineStr">
        <is>
          <t>Gold</t>
        </is>
      </c>
      <c r="O15" s="148" t="n">
        <v>0.2</v>
      </c>
    </row>
    <row r="16" ht="16.5" customHeight="1" s="149">
      <c r="N16" s="148" t="inlineStr">
        <is>
          <t>Equities</t>
        </is>
      </c>
      <c r="O16" s="148" t="n">
        <v>0.3</v>
      </c>
    </row>
    <row r="17" ht="16.5" customHeight="1" s="149">
      <c r="N17" s="148" t="inlineStr">
        <is>
          <t>Bitcoin</t>
        </is>
      </c>
      <c r="O17" s="148" t="n">
        <v>0.1</v>
      </c>
    </row>
  </sheetData>
  <mergeCells count="1">
    <mergeCell ref="B2:R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8B5CF6"/>
    <outlinePr summaryBelow="1" summaryRight="1"/>
    <pageSetUpPr fitToPage="0"/>
  </sheetPr>
  <dimension ref="A1:S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48" min="2" max="2"/>
    <col width="18" customWidth="1" style="148" min="3" max="3"/>
    <col width="12" customWidth="1" style="148" min="4" max="4"/>
    <col width="56" customWidth="1" style="148" min="5" max="5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</row>
    <row r="2" ht="25.5" customHeight="1" s="149">
      <c r="A2" s="150" t="n"/>
      <c r="B2" s="181" t="inlineStr">
        <is>
          <t>GAVETAS — OPTIMIZED ALLOCATION  ·  US$460,000</t>
        </is>
      </c>
      <c r="N2" s="150" t="n"/>
      <c r="O2" s="150" t="n"/>
      <c r="P2" s="150" t="n"/>
      <c r="Q2" s="150" t="n"/>
      <c r="R2" s="150" t="n"/>
      <c r="S2" s="150" t="n"/>
    </row>
    <row r="3" ht="6" customHeight="1" s="149"/>
    <row r="4" ht="18" customHeight="1" s="149">
      <c r="B4" s="182" t="inlineStr">
        <is>
          <t>Gaveta</t>
        </is>
      </c>
      <c r="C4" s="182" t="inlineStr">
        <is>
          <t>Allocation (USD)</t>
        </is>
      </c>
      <c r="D4" s="182" t="inlineStr">
        <is>
          <t>Weight %</t>
        </is>
      </c>
      <c r="E4" s="182" t="inlineStr">
        <is>
          <t>Rationale</t>
        </is>
      </c>
    </row>
    <row r="5" ht="19.5" customHeight="1" s="149">
      <c r="B5" s="183" t="inlineStr">
        <is>
          <t>Preservation &amp; Optionality</t>
        </is>
      </c>
      <c r="C5" s="185" t="n">
        <v>276000</v>
      </c>
      <c r="D5" s="198" t="n">
        <v>0.6</v>
      </c>
      <c r="E5" s="199" t="inlineStr">
        <is>
          <t>Anchor resilience; cash as default, or TFLO for yield without fragility.</t>
        </is>
      </c>
    </row>
    <row r="6" ht="19.5" customHeight="1" s="149">
      <c r="B6" s="192" t="inlineStr">
        <is>
          <t>Convex Growth: Equities (VISA)</t>
        </is>
      </c>
      <c r="C6" s="189" t="n">
        <v>138000</v>
      </c>
      <c r="D6" s="200" t="n">
        <v>0.3</v>
      </c>
      <c r="E6" s="201" t="inlineStr">
        <is>
          <t>Mid-term global exposure; outperforms benchmarks on &gt;1-year horizon.</t>
        </is>
      </c>
    </row>
    <row r="7" ht="19.5" customHeight="1" s="149">
      <c r="B7" s="193" t="inlineStr">
        <is>
          <t>Convex Growth: Crypto (CFM)</t>
        </is>
      </c>
      <c r="C7" s="185" t="n">
        <v>46000</v>
      </c>
      <c r="D7" s="198" t="n">
        <v>0.1</v>
      </c>
      <c r="E7" s="199" t="inlineStr">
        <is>
          <t>Defensive BTC focus; fragility stable—aportes window open.</t>
        </is>
      </c>
    </row>
    <row r="8" ht="19.5" customHeight="1" s="149">
      <c r="B8" s="187" t="inlineStr">
        <is>
          <t>Tactical Brazil</t>
        </is>
      </c>
      <c r="C8" s="189" t="n">
        <v>0</v>
      </c>
      <c r="D8" s="200" t="n">
        <v>0</v>
      </c>
      <c r="E8" s="201" t="inlineStr">
        <is>
          <t>No new exposure; BRL weakness signals underweight.</t>
        </is>
      </c>
    </row>
    <row r="9" ht="18" customHeight="1" s="149">
      <c r="B9" s="194" t="inlineStr">
        <is>
          <t>TOTAL</t>
        </is>
      </c>
      <c r="C9" s="196">
        <f>SUM(C5:C8)</f>
        <v/>
      </c>
      <c r="D9" s="202">
        <f>SUM(D5:D8)</f>
        <v/>
      </c>
    </row>
    <row r="11" ht="6" customHeight="1" s="149"/>
    <row r="12" ht="18" customHeight="1" s="149">
      <c r="B12" s="203" t="inlineStr">
        <is>
          <t>IMPLEMENTATION NOTES</t>
        </is>
      </c>
    </row>
    <row r="13" ht="13.5" customHeight="1" s="149">
      <c r="B13" s="204" t="inlineStr">
        <is>
          <t>• Use IBKR's TWS or Client Portal for all trades.</t>
        </is>
      </c>
    </row>
    <row r="14" ht="13.5" customHeight="1" s="149">
      <c r="B14" s="204" t="inlineStr">
        <is>
          <t>• For crypto: Enable permissions via Settings &gt; Trading &gt; Trading Permissions.</t>
        </is>
      </c>
    </row>
    <row r="15" ht="13.5" customHeight="1" s="149">
      <c r="B15" s="204" t="inlineStr">
        <is>
          <t>• Taxes/Succession: Favor UCITS ETFs where beneficial.</t>
        </is>
      </c>
    </row>
    <row r="16" ht="13.5" customHeight="1" s="149">
      <c r="B16" s="204" t="inlineStr">
        <is>
          <t>• Horizon: Multi-cycle; tolerate volatility for convex payoffs.</t>
        </is>
      </c>
    </row>
    <row r="20" ht="15" customHeight="1" s="149">
      <c r="B20" s="197" t="inlineStr">
        <is>
          <t>Gaveta</t>
        </is>
      </c>
      <c r="C20" s="197" t="inlineStr">
        <is>
          <t>USD ($)</t>
        </is>
      </c>
    </row>
    <row r="21" ht="16.5" customHeight="1" s="149">
      <c r="B21" s="148" t="inlineStr">
        <is>
          <t>Preservation &amp; Optionality</t>
        </is>
      </c>
      <c r="C21" s="148" t="n">
        <v>276000</v>
      </c>
    </row>
    <row r="22" ht="16.5" customHeight="1" s="149">
      <c r="B22" s="148" t="inlineStr">
        <is>
          <t>Convex Growth: Equities (VISA)</t>
        </is>
      </c>
      <c r="C22" s="148" t="n">
        <v>138000</v>
      </c>
    </row>
    <row r="23" ht="16.5" customHeight="1" s="149">
      <c r="B23" s="148" t="inlineStr">
        <is>
          <t>Convex Growth: Crypto (CFM)</t>
        </is>
      </c>
      <c r="C23" s="148" t="n">
        <v>46000</v>
      </c>
    </row>
    <row r="24" ht="16.5" customHeight="1" s="149">
      <c r="B24" s="148" t="inlineStr">
        <is>
          <t>Tactical Brazil</t>
        </is>
      </c>
      <c r="C24" s="148" t="n">
        <v>0</v>
      </c>
    </row>
  </sheetData>
  <mergeCells count="6">
    <mergeCell ref="B2:M2"/>
    <mergeCell ref="B12:E12"/>
    <mergeCell ref="B13:E13"/>
    <mergeCell ref="B16:E16"/>
    <mergeCell ref="B15:E15"/>
    <mergeCell ref="B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5AC8A0"/>
    <outlinePr summaryBelow="1" summaryRight="1"/>
    <pageSetUpPr fitToPage="0"/>
  </sheetPr>
  <dimension ref="A1:U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148" min="2" max="2"/>
    <col width="8" customWidth="1" style="148" min="3" max="3"/>
    <col width="36" customWidth="1" style="148" min="4" max="4"/>
    <col width="14" customWidth="1" style="148" min="5" max="5"/>
    <col width="12" customWidth="1" style="148" min="6" max="6"/>
    <col width="14" customWidth="1" style="148" min="7" max="8"/>
    <col width="10" customWidth="1" style="148" min="9" max="10"/>
    <col width="40" customWidth="1" style="148" min="11" max="11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25.5" customHeight="1" s="149">
      <c r="A2" s="150" t="n"/>
      <c r="B2" s="181" t="inlineStr">
        <is>
          <t>ALL INSTRUMENTS — FULL INSTRUMENT TABLE</t>
        </is>
      </c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</row>
    <row r="3" ht="6" customHeight="1" s="149"/>
    <row r="4" ht="15.75" customHeight="1" s="149">
      <c r="B4" s="162" t="inlineStr">
        <is>
          <t>Asset Class</t>
        </is>
      </c>
      <c r="C4" s="162" t="inlineStr">
        <is>
          <t>Ticker</t>
        </is>
      </c>
      <c r="D4" s="162" t="inlineStr">
        <is>
          <t>Name</t>
        </is>
      </c>
      <c r="E4" s="162" t="inlineStr">
        <is>
          <t>Type</t>
        </is>
      </c>
      <c r="F4" s="162" t="inlineStr">
        <is>
          <t>Custodian</t>
        </is>
      </c>
      <c r="G4" s="162" t="inlineStr">
        <is>
          <t>Target Weight</t>
        </is>
      </c>
      <c r="H4" s="162" t="inlineStr">
        <is>
          <t>Amount (USD)</t>
        </is>
      </c>
      <c r="I4" s="162" t="inlineStr">
        <is>
          <t>Currency</t>
        </is>
      </c>
      <c r="J4" s="162" t="inlineStr">
        <is>
          <t>Status</t>
        </is>
      </c>
      <c r="K4" s="162" t="inlineStr">
        <is>
          <t>Notes</t>
        </is>
      </c>
    </row>
    <row r="5" ht="13.5" customHeight="1" s="149">
      <c r="B5" s="205" t="inlineStr">
        <is>
          <t>Cash</t>
        </is>
      </c>
      <c r="C5" s="206" t="inlineStr">
        <is>
          <t>—</t>
        </is>
      </c>
      <c r="D5" s="206" t="inlineStr">
        <is>
          <t>USD Bank Cash</t>
        </is>
      </c>
      <c r="E5" s="206" t="inlineStr">
        <is>
          <t>cash</t>
        </is>
      </c>
      <c r="F5" s="206" t="inlineStr">
        <is>
          <t>bank</t>
        </is>
      </c>
      <c r="G5" s="207" t="n">
        <v>0.1364</v>
      </c>
      <c r="H5" s="208" t="n">
        <v>62727</v>
      </c>
      <c r="I5" s="206" t="inlineStr">
        <is>
          <t>USD</t>
        </is>
      </c>
      <c r="J5" s="206" t="inlineStr">
        <is>
          <t>planned</t>
        </is>
      </c>
      <c r="K5" s="206" t="inlineStr">
        <is>
          <t>Immediate liquidity reserve.</t>
        </is>
      </c>
    </row>
    <row r="6" ht="13.5" customHeight="1" s="149">
      <c r="B6" s="209" t="inlineStr">
        <is>
          <t>Cash</t>
        </is>
      </c>
      <c r="C6" s="210" t="inlineStr">
        <is>
          <t>TFLO</t>
        </is>
      </c>
      <c r="D6" s="210" t="inlineStr">
        <is>
          <t>iShares Treasury Floating Rate</t>
        </is>
      </c>
      <c r="E6" s="210" t="inlineStr">
        <is>
          <t>etf</t>
        </is>
      </c>
      <c r="F6" s="210" t="inlineStr">
        <is>
          <t>brokerage</t>
        </is>
      </c>
      <c r="G6" s="211" t="n">
        <v>0.1136</v>
      </c>
      <c r="H6" s="212" t="n">
        <v>52273</v>
      </c>
      <c r="I6" s="210" t="inlineStr">
        <is>
          <t>USD</t>
        </is>
      </c>
      <c r="J6" s="210" t="inlineStr">
        <is>
          <t>planned</t>
        </is>
      </c>
      <c r="K6" s="210" t="inlineStr">
        <is>
          <t>Ultra-short Treasury parking sleeve.</t>
        </is>
      </c>
    </row>
    <row r="7" ht="13.5" customHeight="1" s="149">
      <c r="B7" s="213" t="inlineStr">
        <is>
          <t>Bonds</t>
        </is>
      </c>
      <c r="C7" s="206" t="inlineStr">
        <is>
          <t>IEF</t>
        </is>
      </c>
      <c r="D7" s="206" t="inlineStr">
        <is>
          <t>iShares 7-10Y Treasury Bond ETF</t>
        </is>
      </c>
      <c r="E7" s="206" t="inlineStr">
        <is>
          <t>etf</t>
        </is>
      </c>
      <c r="F7" s="206" t="inlineStr">
        <is>
          <t>brokerage</t>
        </is>
      </c>
      <c r="G7" s="207" t="n">
        <v>0.075</v>
      </c>
      <c r="H7" s="208" t="n">
        <v>34500</v>
      </c>
      <c r="I7" s="206" t="inlineStr">
        <is>
          <t>USD</t>
        </is>
      </c>
      <c r="J7" s="206" t="inlineStr">
        <is>
          <t>planned</t>
        </is>
      </c>
      <c r="K7" s="206" t="inlineStr">
        <is>
          <t>Intermediate duration exposure.</t>
        </is>
      </c>
    </row>
    <row r="8" ht="13.5" customHeight="1" s="149">
      <c r="B8" s="214" t="inlineStr">
        <is>
          <t>Bonds</t>
        </is>
      </c>
      <c r="C8" s="210" t="inlineStr">
        <is>
          <t>TLT</t>
        </is>
      </c>
      <c r="D8" s="210" t="inlineStr">
        <is>
          <t>iShares 20+ Year Treasury ETF</t>
        </is>
      </c>
      <c r="E8" s="210" t="inlineStr">
        <is>
          <t>etf</t>
        </is>
      </c>
      <c r="F8" s="210" t="inlineStr">
        <is>
          <t>brokerage</t>
        </is>
      </c>
      <c r="G8" s="211" t="n">
        <v>0.075</v>
      </c>
      <c r="H8" s="212" t="n">
        <v>34500</v>
      </c>
      <c r="I8" s="210" t="inlineStr">
        <is>
          <t>USD</t>
        </is>
      </c>
      <c r="J8" s="210" t="inlineStr">
        <is>
          <t>planned</t>
        </is>
      </c>
      <c r="K8" s="210" t="inlineStr">
        <is>
          <t>Long duration convex sleeve.</t>
        </is>
      </c>
    </row>
    <row r="9" ht="13.5" customHeight="1" s="149">
      <c r="B9" s="215" t="inlineStr">
        <is>
          <t>Gold</t>
        </is>
      </c>
      <c r="C9" s="206" t="inlineStr">
        <is>
          <t>GLDM</t>
        </is>
      </c>
      <c r="D9" s="206" t="inlineStr">
        <is>
          <t>SPDR Gold MiniShares Trust</t>
        </is>
      </c>
      <c r="E9" s="206" t="inlineStr">
        <is>
          <t>etf</t>
        </is>
      </c>
      <c r="F9" s="206" t="inlineStr">
        <is>
          <t>brokerage</t>
        </is>
      </c>
      <c r="G9" s="207" t="n">
        <v>0.1364</v>
      </c>
      <c r="H9" s="208" t="n">
        <v>62727</v>
      </c>
      <c r="I9" s="206" t="inlineStr">
        <is>
          <t>USD</t>
        </is>
      </c>
      <c r="J9" s="206" t="inlineStr">
        <is>
          <t>planned</t>
        </is>
      </c>
      <c r="K9" s="206" t="inlineStr">
        <is>
          <t>Liquid gold proxy.</t>
        </is>
      </c>
    </row>
    <row r="10" ht="13.5" customHeight="1" s="149">
      <c r="B10" s="216" t="inlineStr">
        <is>
          <t>Gold</t>
        </is>
      </c>
      <c r="C10" s="210" t="inlineStr">
        <is>
          <t>GDX</t>
        </is>
      </c>
      <c r="D10" s="210" t="inlineStr">
        <is>
          <t>VanEck Gold Miners ETF</t>
        </is>
      </c>
      <c r="E10" s="210" t="inlineStr">
        <is>
          <t>etf</t>
        </is>
      </c>
      <c r="F10" s="210" t="inlineStr">
        <is>
          <t>brokerage</t>
        </is>
      </c>
      <c r="G10" s="211" t="n">
        <v>0.0636</v>
      </c>
      <c r="H10" s="212" t="n">
        <v>29273</v>
      </c>
      <c r="I10" s="210" t="inlineStr">
        <is>
          <t>USD</t>
        </is>
      </c>
      <c r="J10" s="210" t="inlineStr">
        <is>
          <t>planned</t>
        </is>
      </c>
      <c r="K10" s="210" t="inlineStr">
        <is>
          <t>Gold miners for geo premium leverage.</t>
        </is>
      </c>
    </row>
    <row r="11" ht="13.5" customHeight="1" s="149">
      <c r="B11" s="217" t="inlineStr">
        <is>
          <t>Equities</t>
        </is>
      </c>
      <c r="C11" s="206" t="inlineStr">
        <is>
          <t>TFLO</t>
        </is>
      </c>
      <c r="D11" s="206" t="inlineStr">
        <is>
          <t>iShares Treasury Floating Rate</t>
        </is>
      </c>
      <c r="E11" s="206" t="inlineStr">
        <is>
          <t>etf</t>
        </is>
      </c>
      <c r="F11" s="206" t="inlineStr">
        <is>
          <t>brokerage</t>
        </is>
      </c>
      <c r="G11" s="207" t="n">
        <v>0.15</v>
      </c>
      <c r="H11" s="208" t="n">
        <v>69000</v>
      </c>
      <c r="I11" s="206" t="inlineStr">
        <is>
          <t>USD</t>
        </is>
      </c>
      <c r="J11" s="206" t="inlineStr">
        <is>
          <t>planned</t>
        </is>
      </c>
      <c r="K11" s="206" t="inlineStr">
        <is>
          <t>Liquidity buffer within equities.</t>
        </is>
      </c>
    </row>
    <row r="12" ht="13.5" customHeight="1" s="149">
      <c r="B12" s="218" t="inlineStr">
        <is>
          <t>Equities</t>
        </is>
      </c>
      <c r="C12" s="210" t="inlineStr">
        <is>
          <t>EWZ</t>
        </is>
      </c>
      <c r="D12" s="210" t="inlineStr">
        <is>
          <t>iShares MSCI Brazil ETF</t>
        </is>
      </c>
      <c r="E12" s="210" t="inlineStr">
        <is>
          <t>etf</t>
        </is>
      </c>
      <c r="F12" s="210" t="inlineStr">
        <is>
          <t>brokerage</t>
        </is>
      </c>
      <c r="G12" s="211" t="n">
        <v>0.0165</v>
      </c>
      <c r="H12" s="212" t="n">
        <v>7590</v>
      </c>
      <c r="I12" s="210" t="inlineStr">
        <is>
          <t>USD</t>
        </is>
      </c>
      <c r="J12" s="210" t="inlineStr">
        <is>
          <t>planned</t>
        </is>
      </c>
      <c r="K12" s="210" t="inlineStr">
        <is>
          <t>Tactical EM exposure.</t>
        </is>
      </c>
    </row>
    <row r="13" ht="13.5" customHeight="1" s="149">
      <c r="B13" s="217" t="inlineStr">
        <is>
          <t>Equities</t>
        </is>
      </c>
      <c r="C13" s="206" t="inlineStr">
        <is>
          <t>SPY</t>
        </is>
      </c>
      <c r="D13" s="206" t="inlineStr">
        <is>
          <t>SPDR S&amp;P 500 ETF Trust</t>
        </is>
      </c>
      <c r="E13" s="206" t="inlineStr">
        <is>
          <t>etf</t>
        </is>
      </c>
      <c r="F13" s="206" t="inlineStr">
        <is>
          <t>brokerage</t>
        </is>
      </c>
      <c r="G13" s="207" t="n">
        <v>0.0135</v>
      </c>
      <c r="H13" s="208" t="n">
        <v>6210</v>
      </c>
      <c r="I13" s="206" t="inlineStr">
        <is>
          <t>USD</t>
        </is>
      </c>
      <c r="J13" s="206" t="inlineStr">
        <is>
          <t>planned</t>
        </is>
      </c>
      <c r="K13" s="206" t="inlineStr">
        <is>
          <t>Core US growth.</t>
        </is>
      </c>
    </row>
    <row r="14" ht="13.5" customHeight="1" s="149">
      <c r="B14" s="218" t="inlineStr">
        <is>
          <t>Equities</t>
        </is>
      </c>
      <c r="C14" s="210" t="inlineStr">
        <is>
          <t>GDX</t>
        </is>
      </c>
      <c r="D14" s="210" t="inlineStr">
        <is>
          <t>VanEck Gold Miners ETF</t>
        </is>
      </c>
      <c r="E14" s="210" t="inlineStr">
        <is>
          <t>etf</t>
        </is>
      </c>
      <c r="F14" s="210" t="inlineStr">
        <is>
          <t>brokerage</t>
        </is>
      </c>
      <c r="G14" s="211" t="n">
        <v>0.0135</v>
      </c>
      <c r="H14" s="212" t="n">
        <v>6210</v>
      </c>
      <c r="I14" s="210" t="inlineStr">
        <is>
          <t>USD</t>
        </is>
      </c>
      <c r="J14" s="210" t="inlineStr">
        <is>
          <t>planned</t>
        </is>
      </c>
      <c r="K14" s="210" t="inlineStr">
        <is>
          <t>Geo hedge.</t>
        </is>
      </c>
    </row>
    <row r="15" ht="13.5" customHeight="1" s="149">
      <c r="B15" s="217" t="inlineStr">
        <is>
          <t>Equities</t>
        </is>
      </c>
      <c r="C15" s="206" t="inlineStr">
        <is>
          <t>XLU</t>
        </is>
      </c>
      <c r="D15" s="206" t="inlineStr">
        <is>
          <t>Utilities Select Sector SPDR</t>
        </is>
      </c>
      <c r="E15" s="206" t="inlineStr">
        <is>
          <t>etf</t>
        </is>
      </c>
      <c r="F15" s="206" t="inlineStr">
        <is>
          <t>brokerage</t>
        </is>
      </c>
      <c r="G15" s="207" t="n">
        <v>0.0067</v>
      </c>
      <c r="H15" s="208" t="n">
        <v>3105</v>
      </c>
      <c r="I15" s="206" t="inlineStr">
        <is>
          <t>USD</t>
        </is>
      </c>
      <c r="J15" s="206" t="inlineStr">
        <is>
          <t>planned</t>
        </is>
      </c>
      <c r="K15" s="206" t="inlineStr">
        <is>
          <t>Defensive sector.</t>
        </is>
      </c>
    </row>
    <row r="16" ht="13.5" customHeight="1" s="149">
      <c r="B16" s="218" t="inlineStr">
        <is>
          <t>Equities</t>
        </is>
      </c>
      <c r="C16" s="210" t="inlineStr">
        <is>
          <t>VXX</t>
        </is>
      </c>
      <c r="D16" s="210" t="inlineStr">
        <is>
          <t>iPath S&amp;P 500 VIX Short-Term ETN</t>
        </is>
      </c>
      <c r="E16" s="210" t="inlineStr">
        <is>
          <t>etn</t>
        </is>
      </c>
      <c r="F16" s="210" t="inlineStr">
        <is>
          <t>brokerage</t>
        </is>
      </c>
      <c r="G16" s="211" t="n">
        <v>0.0067</v>
      </c>
      <c r="H16" s="212" t="n">
        <v>3105</v>
      </c>
      <c r="I16" s="210" t="inlineStr">
        <is>
          <t>USD</t>
        </is>
      </c>
      <c r="J16" s="210" t="inlineStr">
        <is>
          <t>planned</t>
        </is>
      </c>
      <c r="K16" s="210" t="inlineStr">
        <is>
          <t>Convex hedge against drawdowns.</t>
        </is>
      </c>
    </row>
    <row r="17" ht="13.5" customHeight="1" s="149">
      <c r="B17" s="217" t="inlineStr">
        <is>
          <t>Equities</t>
        </is>
      </c>
      <c r="C17" s="206" t="inlineStr">
        <is>
          <t>FXI</t>
        </is>
      </c>
      <c r="D17" s="206" t="inlineStr">
        <is>
          <t>iShares China Large-Cap ETF</t>
        </is>
      </c>
      <c r="E17" s="206" t="inlineStr">
        <is>
          <t>etf</t>
        </is>
      </c>
      <c r="F17" s="206" t="inlineStr">
        <is>
          <t>brokerage</t>
        </is>
      </c>
      <c r="G17" s="207" t="n">
        <v>0.015</v>
      </c>
      <c r="H17" s="208" t="n">
        <v>6900</v>
      </c>
      <c r="I17" s="206" t="inlineStr">
        <is>
          <t>USD</t>
        </is>
      </c>
      <c r="J17" s="206" t="inlineStr">
        <is>
          <t>planned</t>
        </is>
      </c>
      <c r="K17" s="206" t="inlineStr">
        <is>
          <t>China recovery play.</t>
        </is>
      </c>
    </row>
    <row r="18" ht="13.5" customHeight="1" s="149">
      <c r="B18" s="218" t="inlineStr">
        <is>
          <t>Equities</t>
        </is>
      </c>
      <c r="C18" s="210" t="inlineStr">
        <is>
          <t>EWH</t>
        </is>
      </c>
      <c r="D18" s="210" t="inlineStr">
        <is>
          <t>iShares MSCI Hong Kong ETF</t>
        </is>
      </c>
      <c r="E18" s="210" t="inlineStr">
        <is>
          <t>etf</t>
        </is>
      </c>
      <c r="F18" s="210" t="inlineStr">
        <is>
          <t>brokerage</t>
        </is>
      </c>
      <c r="G18" s="211" t="n">
        <v>0.015</v>
      </c>
      <c r="H18" s="212" t="n">
        <v>6900</v>
      </c>
      <c r="I18" s="210" t="inlineStr">
        <is>
          <t>USD</t>
        </is>
      </c>
      <c r="J18" s="210" t="inlineStr">
        <is>
          <t>planned</t>
        </is>
      </c>
      <c r="K18" s="210" t="inlineStr">
        <is>
          <t>China proxy.</t>
        </is>
      </c>
    </row>
    <row r="19" ht="13.5" customHeight="1" s="149">
      <c r="B19" s="217" t="inlineStr">
        <is>
          <t>Equities</t>
        </is>
      </c>
      <c r="C19" s="206" t="inlineStr">
        <is>
          <t>BABA</t>
        </is>
      </c>
      <c r="D19" s="206" t="inlineStr">
        <is>
          <t>Alibaba Group Holding ADR</t>
        </is>
      </c>
      <c r="E19" s="206" t="inlineStr">
        <is>
          <t>adr</t>
        </is>
      </c>
      <c r="F19" s="206" t="inlineStr">
        <is>
          <t>brokerage</t>
        </is>
      </c>
      <c r="G19" s="207" t="n">
        <v>0.015</v>
      </c>
      <c r="H19" s="208" t="n">
        <v>6900</v>
      </c>
      <c r="I19" s="206" t="inlineStr">
        <is>
          <t>USD</t>
        </is>
      </c>
      <c r="J19" s="206" t="inlineStr">
        <is>
          <t>planned</t>
        </is>
      </c>
      <c r="K19" s="206" t="inlineStr">
        <is>
          <t>China tech recovery.</t>
        </is>
      </c>
    </row>
    <row r="20" ht="13.5" customHeight="1" s="149">
      <c r="B20" s="218" t="inlineStr">
        <is>
          <t>Equities</t>
        </is>
      </c>
      <c r="C20" s="210" t="inlineStr">
        <is>
          <t>BIDU</t>
        </is>
      </c>
      <c r="D20" s="210" t="inlineStr">
        <is>
          <t>Baidu Inc ADR</t>
        </is>
      </c>
      <c r="E20" s="210" t="inlineStr">
        <is>
          <t>adr</t>
        </is>
      </c>
      <c r="F20" s="210" t="inlineStr">
        <is>
          <t>brokerage</t>
        </is>
      </c>
      <c r="G20" s="211" t="n">
        <v>0.015</v>
      </c>
      <c r="H20" s="212" t="n">
        <v>6900</v>
      </c>
      <c r="I20" s="210" t="inlineStr">
        <is>
          <t>USD</t>
        </is>
      </c>
      <c r="J20" s="210" t="inlineStr">
        <is>
          <t>planned</t>
        </is>
      </c>
      <c r="K20" s="210" t="inlineStr">
        <is>
          <t>China AI/search.</t>
        </is>
      </c>
    </row>
    <row r="21" ht="13.5" customHeight="1" s="149">
      <c r="B21" s="217" t="inlineStr">
        <is>
          <t>Equities</t>
        </is>
      </c>
      <c r="C21" s="206" t="inlineStr">
        <is>
          <t>MSTR</t>
        </is>
      </c>
      <c r="D21" s="206" t="inlineStr">
        <is>
          <t>MicroStrategy Inc</t>
        </is>
      </c>
      <c r="E21" s="206" t="inlineStr">
        <is>
          <t>stock</t>
        </is>
      </c>
      <c r="F21" s="206" t="inlineStr">
        <is>
          <t>brokerage</t>
        </is>
      </c>
      <c r="G21" s="207" t="n">
        <v>0.006</v>
      </c>
      <c r="H21" s="208" t="n">
        <v>2760</v>
      </c>
      <c r="I21" s="206" t="inlineStr">
        <is>
          <t>USD</t>
        </is>
      </c>
      <c r="J21" s="206" t="inlineStr">
        <is>
          <t>planned</t>
        </is>
      </c>
      <c r="K21" s="206" t="inlineStr">
        <is>
          <t>BTC proxy; leveraged.</t>
        </is>
      </c>
    </row>
    <row r="22" ht="13.5" customHeight="1" s="149">
      <c r="B22" s="218" t="inlineStr">
        <is>
          <t>Equities</t>
        </is>
      </c>
      <c r="C22" s="210" t="inlineStr">
        <is>
          <t>RIOT</t>
        </is>
      </c>
      <c r="D22" s="210" t="inlineStr">
        <is>
          <t>Riot Platforms Inc</t>
        </is>
      </c>
      <c r="E22" s="210" t="inlineStr">
        <is>
          <t>stock</t>
        </is>
      </c>
      <c r="F22" s="210" t="inlineStr">
        <is>
          <t>brokerage</t>
        </is>
      </c>
      <c r="G22" s="211" t="n">
        <v>0.006</v>
      </c>
      <c r="H22" s="212" t="n">
        <v>2760</v>
      </c>
      <c r="I22" s="210" t="inlineStr">
        <is>
          <t>USD</t>
        </is>
      </c>
      <c r="J22" s="210" t="inlineStr">
        <is>
          <t>planned</t>
        </is>
      </c>
      <c r="K22" s="210" t="inlineStr">
        <is>
          <t>BTC mining efficiency.</t>
        </is>
      </c>
    </row>
    <row r="23" ht="13.5" customHeight="1" s="149">
      <c r="B23" s="217" t="inlineStr">
        <is>
          <t>Equities</t>
        </is>
      </c>
      <c r="C23" s="206" t="inlineStr">
        <is>
          <t>CLSK</t>
        </is>
      </c>
      <c r="D23" s="206" t="inlineStr">
        <is>
          <t>CleanSpark Inc</t>
        </is>
      </c>
      <c r="E23" s="206" t="inlineStr">
        <is>
          <t>stock</t>
        </is>
      </c>
      <c r="F23" s="206" t="inlineStr">
        <is>
          <t>brokerage</t>
        </is>
      </c>
      <c r="G23" s="207" t="n">
        <v>0.006</v>
      </c>
      <c r="H23" s="208" t="n">
        <v>2760</v>
      </c>
      <c r="I23" s="206" t="inlineStr">
        <is>
          <t>USD</t>
        </is>
      </c>
      <c r="J23" s="206" t="inlineStr">
        <is>
          <t>planned</t>
        </is>
      </c>
      <c r="K23" s="206" t="inlineStr">
        <is>
          <t>Green BTC mining.</t>
        </is>
      </c>
    </row>
    <row r="24" ht="13.5" customHeight="1" s="149">
      <c r="B24" s="218" t="inlineStr">
        <is>
          <t>Equities</t>
        </is>
      </c>
      <c r="C24" s="210" t="inlineStr">
        <is>
          <t>COIN</t>
        </is>
      </c>
      <c r="D24" s="210" t="inlineStr">
        <is>
          <t>Coinbase Global Inc</t>
        </is>
      </c>
      <c r="E24" s="210" t="inlineStr">
        <is>
          <t>stock</t>
        </is>
      </c>
      <c r="F24" s="210" t="inlineStr">
        <is>
          <t>brokerage</t>
        </is>
      </c>
      <c r="G24" s="211" t="n">
        <v>0.006</v>
      </c>
      <c r="H24" s="212" t="n">
        <v>2760</v>
      </c>
      <c r="I24" s="210" t="inlineStr">
        <is>
          <t>USD</t>
        </is>
      </c>
      <c r="J24" s="210" t="inlineStr">
        <is>
          <t>planned</t>
        </is>
      </c>
      <c r="K24" s="210" t="inlineStr">
        <is>
          <t>Crypto exchange.</t>
        </is>
      </c>
    </row>
    <row r="25" ht="13.5" customHeight="1" s="149">
      <c r="B25" s="217" t="inlineStr">
        <is>
          <t>Equities</t>
        </is>
      </c>
      <c r="C25" s="206" t="inlineStr">
        <is>
          <t>TSLA</t>
        </is>
      </c>
      <c r="D25" s="206" t="inlineStr">
        <is>
          <t>Tesla Inc</t>
        </is>
      </c>
      <c r="E25" s="206" t="inlineStr">
        <is>
          <t>stock</t>
        </is>
      </c>
      <c r="F25" s="206" t="inlineStr">
        <is>
          <t>brokerage</t>
        </is>
      </c>
      <c r="G25" s="207" t="n">
        <v>0.008999999999999999</v>
      </c>
      <c r="H25" s="208" t="n">
        <v>4140</v>
      </c>
      <c r="I25" s="206" t="inlineStr">
        <is>
          <t>USD</t>
        </is>
      </c>
      <c r="J25" s="206" t="inlineStr">
        <is>
          <t>planned</t>
        </is>
      </c>
      <c r="K25" s="206" t="inlineStr">
        <is>
          <t>EV/IA growth.</t>
        </is>
      </c>
    </row>
    <row r="26" ht="13.5" customHeight="1" s="149">
      <c r="B26" s="219" t="inlineStr">
        <is>
          <t>Bitcoin</t>
        </is>
      </c>
      <c r="C26" s="210" t="inlineStr">
        <is>
          <t>BTC</t>
        </is>
      </c>
      <c r="D26" s="210" t="inlineStr">
        <is>
          <t>Bitcoin Spot</t>
        </is>
      </c>
      <c r="E26" s="210" t="inlineStr">
        <is>
          <t>digital_asset</t>
        </is>
      </c>
      <c r="F26" s="210" t="inlineStr">
        <is>
          <t>brokerage</t>
        </is>
      </c>
      <c r="G26" s="211" t="n">
        <v>0.08</v>
      </c>
      <c r="H26" s="212" t="n">
        <v>36800</v>
      </c>
      <c r="I26" s="210" t="inlineStr">
        <is>
          <t>USD</t>
        </is>
      </c>
      <c r="J26" s="210" t="inlineStr">
        <is>
          <t>planned</t>
        </is>
      </c>
      <c r="K26" s="210" t="inlineStr">
        <is>
          <t>Direct BTC ownership; core reserve.</t>
        </is>
      </c>
    </row>
    <row r="27" ht="13.5" customHeight="1" s="149">
      <c r="B27" s="220" t="inlineStr">
        <is>
          <t>Bitcoin</t>
        </is>
      </c>
      <c r="C27" s="206" t="inlineStr">
        <is>
          <t>ETH</t>
        </is>
      </c>
      <c r="D27" s="206" t="inlineStr">
        <is>
          <t>Ethereum Spot</t>
        </is>
      </c>
      <c r="E27" s="206" t="inlineStr">
        <is>
          <t>digital_asset</t>
        </is>
      </c>
      <c r="F27" s="206" t="inlineStr">
        <is>
          <t>brokerage</t>
        </is>
      </c>
      <c r="G27" s="207" t="n">
        <v>0.0125</v>
      </c>
      <c r="H27" s="208" t="n">
        <v>5750</v>
      </c>
      <c r="I27" s="206" t="inlineStr">
        <is>
          <t>USD</t>
        </is>
      </c>
      <c r="J27" s="206" t="inlineStr">
        <is>
          <t>planned</t>
        </is>
      </c>
      <c r="K27" s="206" t="inlineStr">
        <is>
          <t>Scaling layer; quantum resilience.</t>
        </is>
      </c>
    </row>
    <row r="28" ht="13.5" customHeight="1" s="149">
      <c r="B28" s="219" t="inlineStr">
        <is>
          <t>Bitcoin</t>
        </is>
      </c>
      <c r="C28" s="210" t="inlineStr">
        <is>
          <t>LTC</t>
        </is>
      </c>
      <c r="D28" s="210" t="inlineStr">
        <is>
          <t>Litecoin Spot</t>
        </is>
      </c>
      <c r="E28" s="210" t="inlineStr">
        <is>
          <t>digital_asset</t>
        </is>
      </c>
      <c r="F28" s="210" t="inlineStr">
        <is>
          <t>brokerage</t>
        </is>
      </c>
      <c r="G28" s="211" t="n">
        <v>0.0056</v>
      </c>
      <c r="H28" s="212" t="n">
        <v>2576</v>
      </c>
      <c r="I28" s="210" t="inlineStr">
        <is>
          <t>USD</t>
        </is>
      </c>
      <c r="J28" s="210" t="inlineStr">
        <is>
          <t>planned</t>
        </is>
      </c>
      <c r="K28" s="210" t="inlineStr">
        <is>
          <t>Payment efficiency.</t>
        </is>
      </c>
    </row>
    <row r="29" ht="13.5" customHeight="1" s="149">
      <c r="B29" s="220" t="inlineStr">
        <is>
          <t>Bitcoin</t>
        </is>
      </c>
      <c r="C29" s="206" t="inlineStr">
        <is>
          <t>LINK</t>
        </is>
      </c>
      <c r="D29" s="206" t="inlineStr">
        <is>
          <t>Chainlink Spot</t>
        </is>
      </c>
      <c r="E29" s="206" t="inlineStr">
        <is>
          <t>digital_asset</t>
        </is>
      </c>
      <c r="F29" s="206" t="inlineStr">
        <is>
          <t>brokerage</t>
        </is>
      </c>
      <c r="G29" s="207" t="n">
        <v>0.0019</v>
      </c>
      <c r="H29" s="208" t="n">
        <v>874</v>
      </c>
      <c r="I29" s="206" t="inlineStr">
        <is>
          <t>USD</t>
        </is>
      </c>
      <c r="J29" s="206" t="inlineStr">
        <is>
          <t>planned</t>
        </is>
      </c>
      <c r="K29" s="206" t="inlineStr">
        <is>
          <t>Oracles; ecosystem convexity.</t>
        </is>
      </c>
    </row>
    <row r="30" ht="13.5" customHeight="1" s="149">
      <c r="B30" s="221" t="inlineStr">
        <is>
          <t>TOTAL</t>
        </is>
      </c>
      <c r="G30" s="222">
        <f>SUM(G5:G29)</f>
        <v/>
      </c>
    </row>
  </sheetData>
  <mergeCells count="1">
    <mergeCell ref="B2:L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B5CF6"/>
    <outlinePr summaryBelow="1" summaryRight="1"/>
    <pageSetUpPr fitToPage="0"/>
  </sheetPr>
  <dimension ref="A1:S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8" customWidth="1" style="148" min="2" max="2"/>
    <col width="26" customWidth="1" style="148" min="3" max="3"/>
    <col width="12" customWidth="1" style="148" min="4" max="4"/>
    <col width="16" customWidth="1" style="148" min="5" max="5"/>
    <col width="15" customWidth="1" style="148" min="6" max="6"/>
    <col width="44" customWidth="1" style="148" min="7" max="7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</row>
    <row r="2" ht="25.5" customHeight="1" s="149">
      <c r="A2" s="150" t="n"/>
      <c r="B2" s="181" t="inlineStr">
        <is>
          <t>EQUITIES COMPOSITION  ·  VISA AÇÕES  ·  US$138,000</t>
        </is>
      </c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</row>
    <row r="3" ht="6" customHeight="1" s="149"/>
    <row r="4" ht="15.75" customHeight="1" s="149">
      <c r="B4" s="162" t="inlineStr">
        <is>
          <t>Ticker</t>
        </is>
      </c>
      <c r="C4" s="162" t="inlineStr">
        <is>
          <t>Description</t>
        </is>
      </c>
      <c r="D4" s="162" t="inlineStr">
        <is>
          <t>Weight %</t>
        </is>
      </c>
      <c r="E4" s="162" t="inlineStr">
        <is>
          <t>Allocation (USD)</t>
        </is>
      </c>
      <c r="F4" s="162" t="inlineStr">
        <is>
          <t>Approx Shares</t>
        </is>
      </c>
      <c r="G4" s="162" t="inlineStr">
        <is>
          <t>Rationale</t>
        </is>
      </c>
      <c r="K4" s="223" t="inlineStr">
        <is>
          <t>Ticker</t>
        </is>
      </c>
      <c r="L4" s="223" t="inlineStr">
        <is>
          <t>Alloc USD</t>
        </is>
      </c>
    </row>
    <row r="5" ht="13.5" customHeight="1" s="149">
      <c r="B5" s="217" t="inlineStr">
        <is>
          <t>TFLO</t>
        </is>
      </c>
      <c r="C5" s="206" t="inlineStr">
        <is>
          <t>Cash Equivalent ETF</t>
        </is>
      </c>
      <c r="D5" s="207" t="n">
        <v>0.5</v>
      </c>
      <c r="E5" s="208" t="n">
        <v>69000</v>
      </c>
      <c r="F5" s="224" t="n">
        <v>1380</v>
      </c>
      <c r="G5" s="206" t="inlineStr">
        <is>
          <t>Liquidity buffer; rebalancing tool.</t>
        </is>
      </c>
      <c r="K5" s="148" t="inlineStr">
        <is>
          <t>TFLO</t>
        </is>
      </c>
      <c r="L5" s="148" t="n">
        <v>69000</v>
      </c>
    </row>
    <row r="6" ht="13.5" customHeight="1" s="149">
      <c r="B6" s="218" t="inlineStr">
        <is>
          <t>EWZ</t>
        </is>
      </c>
      <c r="C6" s="210" t="inlineStr">
        <is>
          <t>Brazil ETF</t>
        </is>
      </c>
      <c r="D6" s="211" t="n">
        <v>0.055</v>
      </c>
      <c r="E6" s="212" t="n">
        <v>7590</v>
      </c>
      <c r="F6" s="225" t="n">
        <v>220</v>
      </c>
      <c r="G6" s="210" t="inlineStr">
        <is>
          <t>Tactical EM; opportunistic only.</t>
        </is>
      </c>
      <c r="K6" s="148" t="inlineStr">
        <is>
          <t>EWZ</t>
        </is>
      </c>
      <c r="L6" s="148" t="n">
        <v>7590</v>
      </c>
    </row>
    <row r="7" ht="13.5" customHeight="1" s="149">
      <c r="B7" s="217" t="inlineStr">
        <is>
          <t>SPY</t>
        </is>
      </c>
      <c r="C7" s="206" t="inlineStr">
        <is>
          <t>S&amp;P 500 ETF</t>
        </is>
      </c>
      <c r="D7" s="207" t="n">
        <v>0.045</v>
      </c>
      <c r="E7" s="208" t="n">
        <v>6210</v>
      </c>
      <c r="F7" s="224" t="n">
        <v>12</v>
      </c>
      <c r="G7" s="206" t="inlineStr">
        <is>
          <t>Core US growth; secular tech/IA tailwinds.</t>
        </is>
      </c>
      <c r="K7" s="148" t="inlineStr">
        <is>
          <t>SPY</t>
        </is>
      </c>
      <c r="L7" s="148" t="n">
        <v>6210</v>
      </c>
    </row>
    <row r="8" ht="13.5" customHeight="1" s="149">
      <c r="B8" s="218" t="inlineStr">
        <is>
          <t>GDX</t>
        </is>
      </c>
      <c r="C8" s="210" t="inlineStr">
        <is>
          <t>Gold Miners ETF</t>
        </is>
      </c>
      <c r="D8" s="211" t="n">
        <v>0.045</v>
      </c>
      <c r="E8" s="212" t="n">
        <v>6210</v>
      </c>
      <c r="F8" s="225" t="n">
        <v>180</v>
      </c>
      <c r="G8" s="210" t="inlineStr">
        <is>
          <t>Geo hedge; supports gold premium on Iran risks.</t>
        </is>
      </c>
      <c r="K8" s="148" t="inlineStr">
        <is>
          <t>GDX</t>
        </is>
      </c>
      <c r="L8" s="148" t="n">
        <v>6210</v>
      </c>
    </row>
    <row r="9" ht="13.5" customHeight="1" s="149">
      <c r="B9" s="217" t="inlineStr">
        <is>
          <t>XLU</t>
        </is>
      </c>
      <c r="C9" s="206" t="inlineStr">
        <is>
          <t>Utilities ETF</t>
        </is>
      </c>
      <c r="D9" s="207" t="n">
        <v>0.0225</v>
      </c>
      <c r="E9" s="208" t="n">
        <v>3105</v>
      </c>
      <c r="F9" s="224" t="n">
        <v>45</v>
      </c>
      <c r="G9" s="206" t="inlineStr">
        <is>
          <t>Defensive sector; duration-like stability.</t>
        </is>
      </c>
      <c r="K9" s="148" t="inlineStr">
        <is>
          <t>XLU</t>
        </is>
      </c>
      <c r="L9" s="148" t="n">
        <v>3105</v>
      </c>
    </row>
    <row r="10" ht="13.5" customHeight="1" s="149">
      <c r="B10" s="218" t="inlineStr">
        <is>
          <t>VXX</t>
        </is>
      </c>
      <c r="C10" s="210" t="inlineStr">
        <is>
          <t>Volatility ETN</t>
        </is>
      </c>
      <c r="D10" s="211" t="n">
        <v>0.0225</v>
      </c>
      <c r="E10" s="212" t="n">
        <v>3105</v>
      </c>
      <c r="F10" s="225" t="n">
        <v>210</v>
      </c>
      <c r="G10" s="210" t="inlineStr">
        <is>
          <t>Convex drawdown hedge.</t>
        </is>
      </c>
      <c r="K10" s="148" t="inlineStr">
        <is>
          <t>VXX</t>
        </is>
      </c>
      <c r="L10" s="148" t="n">
        <v>3105</v>
      </c>
    </row>
    <row r="11" ht="13.5" customHeight="1" s="149">
      <c r="B11" s="217" t="inlineStr">
        <is>
          <t>FXI</t>
        </is>
      </c>
      <c r="C11" s="206" t="inlineStr">
        <is>
          <t>China Large-Cap ETF</t>
        </is>
      </c>
      <c r="D11" s="207" t="n">
        <v>0.05</v>
      </c>
      <c r="E11" s="208" t="n">
        <v>6900</v>
      </c>
      <c r="F11" s="224" t="n">
        <v>240</v>
      </c>
      <c r="G11" s="206" t="inlineStr">
        <is>
          <t>China recovery play; new bull wave imminent.</t>
        </is>
      </c>
      <c r="K11" s="148" t="inlineStr">
        <is>
          <t>FXI</t>
        </is>
      </c>
      <c r="L11" s="148" t="n">
        <v>6900</v>
      </c>
    </row>
    <row r="12" ht="13.5" customHeight="1" s="149">
      <c r="B12" s="218" t="inlineStr">
        <is>
          <t>EWH</t>
        </is>
      </c>
      <c r="C12" s="210" t="inlineStr">
        <is>
          <t>Hong Kong ETF</t>
        </is>
      </c>
      <c r="D12" s="211" t="n">
        <v>0.05</v>
      </c>
      <c r="E12" s="212" t="n">
        <v>6900</v>
      </c>
      <c r="F12" s="225" t="n">
        <v>410</v>
      </c>
      <c r="G12" s="210" t="inlineStr">
        <is>
          <t>China proxy; undervalued asymmetry.</t>
        </is>
      </c>
      <c r="K12" s="148" t="inlineStr">
        <is>
          <t>EWH</t>
        </is>
      </c>
      <c r="L12" s="148" t="n">
        <v>6900</v>
      </c>
    </row>
    <row r="13" ht="13.5" customHeight="1" s="149">
      <c r="B13" s="217" t="inlineStr">
        <is>
          <t>BABA</t>
        </is>
      </c>
      <c r="C13" s="206" t="inlineStr">
        <is>
          <t>Alibaba ADR</t>
        </is>
      </c>
      <c r="D13" s="207" t="n">
        <v>0.05</v>
      </c>
      <c r="E13" s="208" t="n">
        <v>6900</v>
      </c>
      <c r="F13" s="224" t="n">
        <v>90</v>
      </c>
      <c r="G13" s="206" t="inlineStr">
        <is>
          <t>China tech recovery.</t>
        </is>
      </c>
      <c r="K13" s="148" t="inlineStr">
        <is>
          <t>BABA</t>
        </is>
      </c>
      <c r="L13" s="148" t="n">
        <v>6900</v>
      </c>
    </row>
    <row r="14" ht="13.5" customHeight="1" s="149">
      <c r="B14" s="218" t="inlineStr">
        <is>
          <t>BIDU</t>
        </is>
      </c>
      <c r="C14" s="210" t="inlineStr">
        <is>
          <t>Baidu ADR</t>
        </is>
      </c>
      <c r="D14" s="211" t="n">
        <v>0.05</v>
      </c>
      <c r="E14" s="212" t="n">
        <v>6900</v>
      </c>
      <c r="F14" s="225" t="n">
        <v>70</v>
      </c>
      <c r="G14" s="210" t="inlineStr">
        <is>
          <t>China AI/search; undervalued.</t>
        </is>
      </c>
      <c r="K14" s="148" t="inlineStr">
        <is>
          <t>BIDU</t>
        </is>
      </c>
      <c r="L14" s="148" t="n">
        <v>6900</v>
      </c>
    </row>
    <row r="15" ht="13.5" customHeight="1" s="149">
      <c r="B15" s="217" t="inlineStr">
        <is>
          <t>MSTR</t>
        </is>
      </c>
      <c r="C15" s="206" t="inlineStr">
        <is>
          <t>MicroStrategy</t>
        </is>
      </c>
      <c r="D15" s="207" t="n">
        <v>0.02</v>
      </c>
      <c r="E15" s="208" t="n">
        <v>2760</v>
      </c>
      <c r="F15" s="224" t="n">
        <v>2</v>
      </c>
      <c r="G15" s="206" t="inlineStr">
        <is>
          <t>BTC proxy; leveraged.</t>
        </is>
      </c>
      <c r="K15" s="148" t="inlineStr">
        <is>
          <t>MSTR</t>
        </is>
      </c>
      <c r="L15" s="148" t="n">
        <v>2760</v>
      </c>
    </row>
    <row r="16" ht="13.5" customHeight="1" s="149">
      <c r="B16" s="218" t="inlineStr">
        <is>
          <t>RIOT</t>
        </is>
      </c>
      <c r="C16" s="210" t="inlineStr">
        <is>
          <t>Riot Platforms</t>
        </is>
      </c>
      <c r="D16" s="211" t="n">
        <v>0.02</v>
      </c>
      <c r="E16" s="212" t="n">
        <v>2760</v>
      </c>
      <c r="F16" s="225" t="n">
        <v>230</v>
      </c>
      <c r="G16" s="210" t="inlineStr">
        <is>
          <t>BTC mining efficiency.</t>
        </is>
      </c>
      <c r="K16" s="148" t="inlineStr">
        <is>
          <t>RIOT</t>
        </is>
      </c>
      <c r="L16" s="148" t="n">
        <v>2760</v>
      </c>
    </row>
    <row r="17" ht="13.5" customHeight="1" s="149">
      <c r="B17" s="217" t="inlineStr">
        <is>
          <t>CLSK</t>
        </is>
      </c>
      <c r="C17" s="206" t="inlineStr">
        <is>
          <t>CleanSpark</t>
        </is>
      </c>
      <c r="D17" s="207" t="n">
        <v>0.02</v>
      </c>
      <c r="E17" s="208" t="n">
        <v>2760</v>
      </c>
      <c r="F17" s="224" t="n">
        <v>160</v>
      </c>
      <c r="G17" s="206" t="inlineStr">
        <is>
          <t>Green BTC mining.</t>
        </is>
      </c>
      <c r="K17" s="148" t="inlineStr">
        <is>
          <t>CLSK</t>
        </is>
      </c>
      <c r="L17" s="148" t="n">
        <v>2760</v>
      </c>
    </row>
    <row r="18" ht="13.5" customHeight="1" s="149">
      <c r="B18" s="218" t="inlineStr">
        <is>
          <t>COIN</t>
        </is>
      </c>
      <c r="C18" s="210" t="inlineStr">
        <is>
          <t>Coinbase</t>
        </is>
      </c>
      <c r="D18" s="211" t="n">
        <v>0.02</v>
      </c>
      <c r="E18" s="212" t="n">
        <v>2760</v>
      </c>
      <c r="F18" s="225" t="n">
        <v>12</v>
      </c>
      <c r="G18" s="210" t="inlineStr">
        <is>
          <t>Crypto ecosystem.</t>
        </is>
      </c>
      <c r="K18" s="148" t="inlineStr">
        <is>
          <t>COIN</t>
        </is>
      </c>
      <c r="L18" s="148" t="n">
        <v>2760</v>
      </c>
    </row>
    <row r="19" ht="13.5" customHeight="1" s="149">
      <c r="B19" s="217" t="inlineStr">
        <is>
          <t>TSLA</t>
        </is>
      </c>
      <c r="C19" s="206" t="inlineStr">
        <is>
          <t>Tesla</t>
        </is>
      </c>
      <c r="D19" s="207" t="n">
        <v>0.03</v>
      </c>
      <c r="E19" s="208" t="n">
        <v>4140</v>
      </c>
      <c r="F19" s="224" t="n">
        <v>17</v>
      </c>
      <c r="G19" s="206" t="inlineStr">
        <is>
          <t>EV/IA growth.</t>
        </is>
      </c>
      <c r="K19" s="148" t="inlineStr">
        <is>
          <t>TSLA</t>
        </is>
      </c>
      <c r="L19" s="148" t="n">
        <v>4140</v>
      </c>
    </row>
    <row r="20" ht="13.5" customHeight="1" s="149">
      <c r="B20" s="221" t="inlineStr">
        <is>
          <t>TOTAL</t>
        </is>
      </c>
      <c r="D20" s="226">
        <f>SUM(E5:E19)</f>
        <v/>
      </c>
      <c r="E20" s="222">
        <f>SUM(F5:F19)</f>
        <v/>
      </c>
    </row>
    <row r="22" ht="6" customHeight="1" s="149"/>
    <row r="23" ht="15" customHeight="1" s="149">
      <c r="B23" s="227" t="inlineStr">
        <is>
          <t>NOTES</t>
        </is>
      </c>
    </row>
    <row r="24" ht="15" customHeight="1" s="149">
      <c r="B24" s="204" t="inlineStr">
        <is>
          <t>• Assumed prices based on March 2026 estimates; execute at current quotes.</t>
        </is>
      </c>
    </row>
    <row r="25" ht="15" customHeight="1" s="149">
      <c r="B25" s="204" t="inlineStr">
        <is>
          <t>• Alternatives: CSPX for SPY, FLOA for TFLO.</t>
        </is>
      </c>
    </row>
    <row r="26" ht="15" customHeight="1" s="149">
      <c r="B26" s="204" t="inlineStr">
        <is>
          <t>• Performance: +333% BRL since 2019; convex from dólar-real, metals, BTC/China.</t>
        </is>
      </c>
    </row>
  </sheetData>
  <mergeCells count="5">
    <mergeCell ref="B24:G24"/>
    <mergeCell ref="B23:G23"/>
    <mergeCell ref="B26:G26"/>
    <mergeCell ref="B2:J2"/>
    <mergeCell ref="B25:G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97316"/>
    <outlinePr summaryBelow="1" summaryRight="1"/>
    <pageSetUpPr fitToPage="0"/>
  </sheetPr>
  <dimension ref="A1:Q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6" customWidth="1" style="148" min="2" max="2"/>
    <col width="8" customWidth="1" style="148" min="3" max="3"/>
    <col width="14" customWidth="1" style="148" min="4" max="4"/>
    <col width="16" customWidth="1" style="148" min="5" max="5"/>
    <col width="14" customWidth="1" style="148" min="6" max="6"/>
    <col width="40" customWidth="1" style="148" min="7" max="7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</row>
    <row r="2" ht="25.5" customHeight="1" s="149">
      <c r="A2" s="150" t="n"/>
      <c r="B2" s="181" t="inlineStr">
        <is>
          <t>CRYPTO COMPOSITION  ·  CFM  ·  US$46,000 (ADJUSTED)</t>
        </is>
      </c>
      <c r="L2" s="150" t="n"/>
      <c r="M2" s="150" t="n"/>
      <c r="N2" s="150" t="n"/>
      <c r="O2" s="150" t="n"/>
      <c r="P2" s="150" t="n"/>
      <c r="Q2" s="150" t="n"/>
    </row>
    <row r="3" ht="6" customHeight="1" s="149"/>
    <row r="4" ht="15.75" customHeight="1" s="149">
      <c r="B4" s="162" t="inlineStr">
        <is>
          <t>Coin</t>
        </is>
      </c>
      <c r="C4" s="162" t="inlineStr">
        <is>
          <t>Ticker</t>
        </is>
      </c>
      <c r="D4" s="162" t="inlineStr">
        <is>
          <t>Adj. Weight %</t>
        </is>
      </c>
      <c r="E4" s="162" t="inlineStr">
        <is>
          <t>Allocation (USD)</t>
        </is>
      </c>
      <c r="F4" s="162" t="inlineStr">
        <is>
          <t>Approx Qty</t>
        </is>
      </c>
      <c r="G4" s="162" t="inlineStr">
        <is>
          <t>Rationale</t>
        </is>
      </c>
      <c r="J4" s="223" t="inlineStr">
        <is>
          <t>Ticker</t>
        </is>
      </c>
      <c r="K4" s="223" t="inlineStr">
        <is>
          <t>Alloc USD</t>
        </is>
      </c>
    </row>
    <row r="5" ht="18" customHeight="1" s="149">
      <c r="B5" s="193" t="inlineStr">
        <is>
          <t>Bitcoin</t>
        </is>
      </c>
      <c r="C5" s="186" t="inlineStr">
        <is>
          <t>BTC</t>
        </is>
      </c>
      <c r="D5" s="184" t="n">
        <v>0.8</v>
      </c>
      <c r="E5" s="185" t="n">
        <v>36800</v>
      </c>
      <c r="F5" s="228" t="n">
        <v>0.368</v>
      </c>
      <c r="G5" s="186" t="inlineStr">
        <is>
          <t>Reserve asset; positive macro regime.</t>
        </is>
      </c>
      <c r="J5" s="148" t="inlineStr">
        <is>
          <t>BTC</t>
        </is>
      </c>
      <c r="K5" s="148" t="n">
        <v>36800</v>
      </c>
    </row>
    <row r="6" ht="18" customHeight="1" s="149">
      <c r="B6" s="192" t="inlineStr">
        <is>
          <t>Ethereum</t>
        </is>
      </c>
      <c r="C6" s="190" t="inlineStr">
        <is>
          <t>ETH</t>
        </is>
      </c>
      <c r="D6" s="188" t="n">
        <v>0.125</v>
      </c>
      <c r="E6" s="189" t="n">
        <v>5750</v>
      </c>
      <c r="F6" s="229" t="n">
        <v>1.44</v>
      </c>
      <c r="G6" s="190" t="inlineStr">
        <is>
          <t>Scaling layer; quantum-resilient.</t>
        </is>
      </c>
      <c r="J6" s="148" t="inlineStr">
        <is>
          <t>ETH</t>
        </is>
      </c>
      <c r="K6" s="148" t="n">
        <v>5750</v>
      </c>
    </row>
    <row r="7" ht="18" customHeight="1" s="149">
      <c r="B7" s="230" t="inlineStr">
        <is>
          <t>Litecoin</t>
        </is>
      </c>
      <c r="C7" s="186" t="inlineStr">
        <is>
          <t>LTC</t>
        </is>
      </c>
      <c r="D7" s="184" t="n">
        <v>0.056</v>
      </c>
      <c r="E7" s="185" t="n">
        <v>2576</v>
      </c>
      <c r="F7" s="228" t="n">
        <v>25.8</v>
      </c>
      <c r="G7" s="186" t="inlineStr">
        <is>
          <t>Payment efficiency; low fragility.</t>
        </is>
      </c>
      <c r="J7" s="148" t="inlineStr">
        <is>
          <t>LTC</t>
        </is>
      </c>
      <c r="K7" s="148" t="n">
        <v>2576</v>
      </c>
    </row>
    <row r="8" ht="18" customHeight="1" s="149">
      <c r="B8" s="231" t="inlineStr">
        <is>
          <t>Chainlink</t>
        </is>
      </c>
      <c r="C8" s="190" t="inlineStr">
        <is>
          <t>LINK</t>
        </is>
      </c>
      <c r="D8" s="188" t="n">
        <v>0.019</v>
      </c>
      <c r="E8" s="189" t="n">
        <v>874</v>
      </c>
      <c r="F8" s="229" t="n">
        <v>41.6</v>
      </c>
      <c r="G8" s="190" t="inlineStr">
        <is>
          <t>Oracles; ecosystem convexity.</t>
        </is>
      </c>
      <c r="J8" s="148" t="inlineStr">
        <is>
          <t>LINK</t>
        </is>
      </c>
      <c r="K8" s="148" t="n">
        <v>874</v>
      </c>
    </row>
    <row r="9" ht="18" customHeight="1" s="149">
      <c r="B9" s="194" t="inlineStr">
        <is>
          <t>TOTAL</t>
        </is>
      </c>
      <c r="D9" s="195">
        <f>SUM(E5:E8)</f>
        <v/>
      </c>
      <c r="E9" s="196">
        <f>SUM(F5:F8)</f>
        <v/>
      </c>
    </row>
    <row r="11" ht="6" customHeight="1" s="149"/>
    <row r="12" ht="15" customHeight="1" s="149">
      <c r="B12" s="227" t="inlineStr">
        <is>
          <t>NOTES</t>
        </is>
      </c>
    </row>
    <row r="13" ht="15" customHeight="1" s="149">
      <c r="B13" s="204" t="inlineStr">
        <is>
          <t>• Assumed prices for illustration; trade at current market prices.</t>
        </is>
      </c>
    </row>
    <row r="14" ht="15" customHeight="1" s="149">
      <c r="B14" s="204" t="inlineStr">
        <is>
          <t>• Adjusted for IBKR spot availability; unsupported alts skipped.</t>
        </is>
      </c>
    </row>
    <row r="15" ht="15" customHeight="1" s="149">
      <c r="B15" s="204" t="inlineStr">
        <is>
          <t>• Performance: +2,404% BRL since 2018; CAGR ~50% p.a.</t>
        </is>
      </c>
    </row>
  </sheetData>
  <mergeCells count="5">
    <mergeCell ref="B14:G14"/>
    <mergeCell ref="B12:G12"/>
    <mergeCell ref="B13:G13"/>
    <mergeCell ref="B2:K2"/>
    <mergeCell ref="B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5C842"/>
    <outlinePr summaryBelow="1" summaryRight="1"/>
    <pageSetUpPr fitToPage="0"/>
  </sheetPr>
  <dimension ref="A1:U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6" customWidth="1" style="148" min="2" max="2"/>
    <col width="16" customWidth="1" style="148" min="3" max="3"/>
    <col width="28" customWidth="1" style="148" min="4" max="4"/>
    <col width="24" customWidth="1" style="148" min="5" max="5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25.5" customHeight="1" s="149">
      <c r="A2" s="150" t="n"/>
      <c r="B2" s="181" t="inlineStr">
        <is>
          <t>REGIME ENGINE  ·  STRESS SCENARIOS  ·  RISK FRAMEWORK</t>
        </is>
      </c>
      <c r="O2" s="150" t="n"/>
      <c r="P2" s="150" t="n"/>
      <c r="Q2" s="150" t="n"/>
      <c r="R2" s="150" t="n"/>
      <c r="S2" s="150" t="n"/>
      <c r="T2" s="150" t="n"/>
      <c r="U2" s="150" t="n"/>
    </row>
    <row r="3" ht="6" customHeight="1" s="149"/>
    <row r="4" ht="21.75" customHeight="1" s="149">
      <c r="B4" s="232" t="inlineStr">
        <is>
          <t>CURRENT REGIME</t>
        </is>
      </c>
    </row>
    <row r="5" ht="21.75" customHeight="1" s="149">
      <c r="B5" s="233" t="inlineStr">
        <is>
          <t>Defensive Convex</t>
        </is>
      </c>
      <c r="E5" s="234" t="inlineStr">
        <is>
          <t>Carry Signal: BRL Favorable</t>
        </is>
      </c>
    </row>
    <row r="6" ht="21.75" customHeight="1" s="149">
      <c r="E6" s="235" t="inlineStr">
        <is>
          <t>+11.11pp spread (SELIC−Fed)</t>
        </is>
      </c>
    </row>
    <row r="7" ht="6" customHeight="1" s="149"/>
    <row r="8" ht="18" customHeight="1" s="149">
      <c r="B8" s="203" t="inlineStr">
        <is>
          <t>REGIME TARGET WEIGHTS BY ASSET CLASS</t>
        </is>
      </c>
    </row>
    <row r="9" ht="15.75" customHeight="1" s="149">
      <c r="B9" s="162" t="inlineStr">
        <is>
          <t>Asset Class</t>
        </is>
      </c>
      <c r="C9" s="162" t="inlineStr">
        <is>
          <t>Liquidity Crisis</t>
        </is>
      </c>
      <c r="D9" s="162" t="inlineStr">
        <is>
          <t>Defensive Convex</t>
        </is>
      </c>
      <c r="E9" s="162" t="inlineStr">
        <is>
          <t>Expansion</t>
        </is>
      </c>
      <c r="H9" s="223" t="inlineStr">
        <is>
          <t>Asset</t>
        </is>
      </c>
      <c r="I9" s="223" t="inlineStr">
        <is>
          <t>Liquidity Crisis</t>
        </is>
      </c>
      <c r="J9" s="223" t="inlineStr">
        <is>
          <t>Defensive Convex</t>
        </is>
      </c>
      <c r="K9" s="223" t="inlineStr">
        <is>
          <t>Expansion</t>
        </is>
      </c>
    </row>
    <row r="10" ht="15.75" customHeight="1" s="149">
      <c r="B10" s="236" t="inlineStr">
        <is>
          <t>Cash</t>
        </is>
      </c>
      <c r="C10" s="237" t="n">
        <v>0.35</v>
      </c>
      <c r="D10" s="238" t="n">
        <v>0.25</v>
      </c>
      <c r="E10" s="237" t="n">
        <v>0.15</v>
      </c>
      <c r="H10" s="148" t="inlineStr">
        <is>
          <t>Cash</t>
        </is>
      </c>
      <c r="I10" s="148" t="n">
        <v>0.35</v>
      </c>
      <c r="J10" s="148" t="n">
        <v>0.25</v>
      </c>
      <c r="K10" s="148" t="n">
        <v>0.15</v>
      </c>
    </row>
    <row r="11" ht="15.75" customHeight="1" s="149">
      <c r="B11" s="239" t="inlineStr">
        <is>
          <t>Bonds</t>
        </is>
      </c>
      <c r="C11" s="240" t="n">
        <v>0.25</v>
      </c>
      <c r="D11" s="238" t="n">
        <v>0.15</v>
      </c>
      <c r="E11" s="240" t="n">
        <v>0.1</v>
      </c>
      <c r="H11" s="148" t="inlineStr">
        <is>
          <t>Bonds</t>
        </is>
      </c>
      <c r="I11" s="148" t="n">
        <v>0.25</v>
      </c>
      <c r="J11" s="148" t="n">
        <v>0.15</v>
      </c>
      <c r="K11" s="148" t="n">
        <v>0.1</v>
      </c>
    </row>
    <row r="12" ht="15.75" customHeight="1" s="149">
      <c r="B12" s="241" t="inlineStr">
        <is>
          <t>Gold</t>
        </is>
      </c>
      <c r="C12" s="237" t="n">
        <v>0.2</v>
      </c>
      <c r="D12" s="238" t="n">
        <v>0.2</v>
      </c>
      <c r="E12" s="237" t="n">
        <v>0.15</v>
      </c>
      <c r="H12" s="148" t="inlineStr">
        <is>
          <t>Gold</t>
        </is>
      </c>
      <c r="I12" s="148" t="n">
        <v>0.2</v>
      </c>
      <c r="J12" s="148" t="n">
        <v>0.2</v>
      </c>
      <c r="K12" s="148" t="n">
        <v>0.15</v>
      </c>
    </row>
    <row r="13" ht="15.75" customHeight="1" s="149">
      <c r="B13" s="242" t="inlineStr">
        <is>
          <t>Equities</t>
        </is>
      </c>
      <c r="C13" s="240" t="n">
        <v>0.15</v>
      </c>
      <c r="D13" s="238" t="n">
        <v>0.3</v>
      </c>
      <c r="E13" s="240" t="n">
        <v>0.4</v>
      </c>
      <c r="H13" s="148" t="inlineStr">
        <is>
          <t>Equities</t>
        </is>
      </c>
      <c r="I13" s="148" t="n">
        <v>0.15</v>
      </c>
      <c r="J13" s="148" t="n">
        <v>0.3</v>
      </c>
      <c r="K13" s="148" t="n">
        <v>0.4</v>
      </c>
    </row>
    <row r="14" ht="15.75" customHeight="1" s="149">
      <c r="B14" s="243" t="inlineStr">
        <is>
          <t>Bitcoin</t>
        </is>
      </c>
      <c r="C14" s="237" t="n">
        <v>0.05</v>
      </c>
      <c r="D14" s="238" t="n">
        <v>0.1</v>
      </c>
      <c r="E14" s="237" t="n">
        <v>0.2</v>
      </c>
      <c r="H14" s="148" t="inlineStr">
        <is>
          <t>Bitcoin</t>
        </is>
      </c>
      <c r="I14" s="148" t="n">
        <v>0.05</v>
      </c>
      <c r="J14" s="148" t="n">
        <v>0.1</v>
      </c>
      <c r="K14" s="148" t="n">
        <v>0.2</v>
      </c>
    </row>
    <row r="16" ht="6" customHeight="1" s="149"/>
    <row r="17" ht="18" customHeight="1" s="149">
      <c r="B17" s="203" t="inlineStr">
        <is>
          <t>STRESS SCENARIOS</t>
        </is>
      </c>
    </row>
    <row r="18" ht="15.75" customHeight="1" s="149">
      <c r="B18" s="162" t="inlineStr">
        <is>
          <t>Scenario</t>
        </is>
      </c>
      <c r="C18" s="162" t="inlineStr">
        <is>
          <t>Description</t>
        </is>
      </c>
      <c r="D18" s="162" t="inlineStr">
        <is>
          <t>Winners</t>
        </is>
      </c>
      <c r="E18" s="162" t="inlineStr">
        <is>
          <t>Losers</t>
        </is>
      </c>
    </row>
    <row r="19" ht="19.5" customHeight="1" s="149">
      <c r="B19" s="244" t="inlineStr">
        <is>
          <t>USD Liquidity Crunch</t>
        </is>
      </c>
      <c r="C19" s="245" t="inlineStr">
        <is>
          <t>Dollar shortage, rising DXY, widening risk spreads</t>
        </is>
      </c>
      <c r="D19" s="246" t="inlineStr">
        <is>
          <t>Cash, Bonds, Gold</t>
        </is>
      </c>
      <c r="E19" s="247" t="inlineStr">
        <is>
          <t>Equities, Bitcoin</t>
        </is>
      </c>
    </row>
    <row r="20" ht="19.5" customHeight="1" s="149">
      <c r="B20" s="248" t="inlineStr">
        <is>
          <t>Monetary Debasement</t>
        </is>
      </c>
      <c r="C20" s="249" t="inlineStr">
        <is>
          <t>Renewed monetization and weakening fiat credibility</t>
        </is>
      </c>
      <c r="D20" s="250" t="inlineStr">
        <is>
          <t>Gold, Bitcoin</t>
        </is>
      </c>
      <c r="E20" s="251" t="inlineStr">
        <is>
          <t>Cash</t>
        </is>
      </c>
    </row>
    <row r="21" ht="19.5" customHeight="1" s="149">
      <c r="B21" s="244" t="inlineStr">
        <is>
          <t>Global Risk-On</t>
        </is>
      </c>
      <c r="C21" s="245" t="inlineStr">
        <is>
          <t>Falling volatility and broad liquidity expansion</t>
        </is>
      </c>
      <c r="D21" s="246" t="inlineStr">
        <is>
          <t>Equities, Bitcoin</t>
        </is>
      </c>
      <c r="E21" s="247" t="inlineStr">
        <is>
          <t>Cash</t>
        </is>
      </c>
    </row>
    <row r="22" ht="19.5" customHeight="1" s="149">
      <c r="B22" s="248" t="inlineStr">
        <is>
          <t>Geopolitical Escalation</t>
        </is>
      </c>
      <c r="C22" s="249" t="inlineStr">
        <is>
          <t>Commodity shock and cross-asset risk aversion</t>
        </is>
      </c>
      <c r="D22" s="250" t="inlineStr">
        <is>
          <t>Gold, Cash, Long Bonds</t>
        </is>
      </c>
      <c r="E22" s="251" t="inlineStr">
        <is>
          <t>Equities, Bitcoin</t>
        </is>
      </c>
    </row>
    <row r="24" ht="6" customHeight="1" s="149"/>
    <row r="25" ht="18" customHeight="1" s="149">
      <c r="B25" s="203" t="inlineStr">
        <is>
          <t>PORTFOLIO RISK CONSTRAINTS</t>
        </is>
      </c>
    </row>
    <row r="26" ht="15.75" customHeight="1" s="149">
      <c r="B26" s="162" t="inlineStr">
        <is>
          <t>Constraint</t>
        </is>
      </c>
      <c r="C26" s="162" t="inlineStr">
        <is>
          <t>Limit</t>
        </is>
      </c>
    </row>
    <row r="27" ht="15.75" customHeight="1" s="149">
      <c r="B27" s="252" t="inlineStr">
        <is>
          <t>Max Single Instrument Weight</t>
        </is>
      </c>
      <c r="C27" s="253" t="inlineStr">
        <is>
          <t>15%</t>
        </is>
      </c>
    </row>
    <row r="28" ht="15.75" customHeight="1" s="149">
      <c r="B28" s="254" t="inlineStr">
        <is>
          <t>Max High-Volatility Bucket</t>
        </is>
      </c>
      <c r="C28" s="255" t="inlineStr">
        <is>
          <t>40%</t>
        </is>
      </c>
    </row>
    <row r="29" ht="15.75" customHeight="1" s="149">
      <c r="B29" s="252" t="inlineStr">
        <is>
          <t>Min Liquid Assets</t>
        </is>
      </c>
      <c r="C29" s="253" t="inlineStr">
        <is>
          <t>50%</t>
        </is>
      </c>
    </row>
    <row r="30" ht="15.75" customHeight="1" s="149">
      <c r="B30" s="254" t="inlineStr">
        <is>
          <t>Min USD-Denominated Assets</t>
        </is>
      </c>
      <c r="C30" s="255" t="inlineStr">
        <is>
          <t>70%</t>
        </is>
      </c>
    </row>
    <row r="31" ht="15.75" customHeight="1" s="149">
      <c r="B31" s="252" t="inlineStr">
        <is>
          <t>Leverage Allowed</t>
        </is>
      </c>
      <c r="C31" s="253" t="inlineStr">
        <is>
          <t>No</t>
        </is>
      </c>
    </row>
    <row r="32" ht="15.75" customHeight="1" s="149">
      <c r="B32" s="254" t="inlineStr">
        <is>
          <t>Illiquid Private Assets</t>
        </is>
      </c>
      <c r="C32" s="255" t="inlineStr">
        <is>
          <t>No</t>
        </is>
      </c>
    </row>
  </sheetData>
  <mergeCells count="6">
    <mergeCell ref="B8:H8"/>
    <mergeCell ref="B5:D5"/>
    <mergeCell ref="B17:K17"/>
    <mergeCell ref="B25:F25"/>
    <mergeCell ref="B4:D4"/>
    <mergeCell ref="B2: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D0FF00"/>
    <outlinePr summaryBelow="1" summaryRight="1"/>
    <pageSetUpPr fitToPage="0"/>
  </sheetPr>
  <dimension ref="A1:K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48" min="1" max="1"/>
    <col width="26" customWidth="1" style="148" min="2" max="2"/>
    <col width="18" customWidth="1" style="148" min="3" max="6"/>
    <col width="3" customWidth="1" style="148" min="7" max="7"/>
    <col width="26" customWidth="1" style="148" min="8" max="8"/>
    <col width="18" customWidth="1" style="148" min="9" max="10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</row>
    <row r="2" ht="31.5" customHeight="1" s="149">
      <c r="A2" s="150" t="n"/>
      <c r="B2" s="256" t="inlineStr">
        <is>
          <t>MACRO CONTEXT  ·  LIVE SIGNALS</t>
        </is>
      </c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</row>
    <row r="3" ht="21.75" customHeight="1" s="149">
      <c r="A3" s="150" t="n"/>
      <c r="B3" s="257" t="inlineStr">
        <is>
          <t>Brazil + Global · BCB SGS · FRED · ECB SDW</t>
        </is>
      </c>
      <c r="C3" s="150" t="n"/>
      <c r="D3" s="150" t="n"/>
      <c r="E3" s="150" t="n"/>
      <c r="F3" s="150" t="n"/>
      <c r="G3" s="150" t="n"/>
      <c r="H3" s="150" t="n"/>
      <c r="I3" s="150" t="n"/>
      <c r="J3" s="150" t="n"/>
      <c r="K3" s="150" t="n"/>
    </row>
    <row r="4" ht="13.5" customHeight="1" s="149">
      <c r="A4" s="150" t="n"/>
      <c r="B4" s="258" t="inlineStr">
        <is>
          <t>As of: March 19, 2026   |   Auto-refreshed every 4h via LaunchAgent</t>
        </is>
      </c>
      <c r="C4" s="150" t="n"/>
      <c r="D4" s="150" t="n"/>
      <c r="E4" s="258" t="inlineStr">
        <is>
          <t>Data sources: BCB SGS API · FRED (St. Louis Fed) · ECB SDW</t>
        </is>
      </c>
      <c r="F4" s="150" t="n"/>
      <c r="G4" s="150" t="n"/>
      <c r="H4" s="150" t="n"/>
      <c r="I4" s="150" t="n"/>
      <c r="J4" s="150" t="n"/>
      <c r="K4" s="150" t="n"/>
    </row>
    <row r="5" ht="18" customHeight="1" s="149">
      <c r="A5" s="150" t="n"/>
      <c r="B5" s="150" t="n"/>
      <c r="C5" s="150" t="n"/>
      <c r="D5" s="150" t="n"/>
      <c r="E5" s="150" t="n"/>
      <c r="F5" s="150" t="n"/>
      <c r="G5" s="150" t="n"/>
      <c r="H5" s="150" t="n"/>
      <c r="I5" s="150" t="n"/>
      <c r="J5" s="150" t="n"/>
      <c r="K5" s="150" t="n"/>
    </row>
    <row r="6" ht="21.75" customHeight="1" s="149">
      <c r="A6" s="150" t="n"/>
      <c r="B6" s="154" t="inlineStr">
        <is>
          <t>BRAZIL — BCB SGS</t>
        </is>
      </c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</row>
    <row r="7" ht="18" customHeight="1" s="149">
      <c r="A7" s="150" t="n"/>
      <c r="B7" s="259" t="inlineStr">
        <is>
          <t>Indicator</t>
        </is>
      </c>
      <c r="C7" s="259" t="inlineStr">
        <is>
          <t>Value</t>
        </is>
      </c>
      <c r="D7" s="259" t="inlineStr">
        <is>
          <t>Period</t>
        </is>
      </c>
      <c r="E7" s="259" t="inlineStr">
        <is>
          <t>Source</t>
        </is>
      </c>
      <c r="F7" s="150" t="n"/>
      <c r="G7" s="150" t="n"/>
      <c r="H7" s="150" t="n"/>
      <c r="I7" s="150" t="n"/>
      <c r="J7" s="150" t="n"/>
      <c r="K7" s="150" t="n"/>
    </row>
    <row r="8" ht="18" customHeight="1" s="149">
      <c r="A8" s="150" t="n"/>
      <c r="B8" s="260" t="inlineStr">
        <is>
          <t>SELIC Rate</t>
        </is>
      </c>
      <c r="C8" s="261" t="n">
        <v>14.75</v>
      </c>
      <c r="D8" s="262" t="inlineStr">
        <is>
          <t>Apr 29, 2026</t>
        </is>
      </c>
      <c r="E8" s="262" t="inlineStr">
        <is>
          <t>BCB SGS series 432</t>
        </is>
      </c>
      <c r="F8" s="150" t="n"/>
      <c r="G8" s="150" t="n"/>
      <c r="H8" s="150" t="n"/>
      <c r="I8" s="150" t="n"/>
      <c r="J8" s="150" t="n"/>
      <c r="K8" s="150" t="n"/>
    </row>
    <row r="9" ht="18" customHeight="1" s="149">
      <c r="A9" s="150" t="n"/>
      <c r="B9" s="260" t="inlineStr">
        <is>
          <t>IPCA 12m (Inflation)</t>
        </is>
      </c>
      <c r="C9" s="263" t="n">
        <v>3.81</v>
      </c>
      <c r="D9" s="262" t="inlineStr">
        <is>
          <t>Feb 01, 2026</t>
        </is>
      </c>
      <c r="E9" s="262" t="inlineStr">
        <is>
          <t>BCB SGS series 13522</t>
        </is>
      </c>
      <c r="F9" s="150" t="n"/>
      <c r="G9" s="150" t="n"/>
      <c r="H9" s="150" t="n"/>
      <c r="I9" s="150" t="n"/>
      <c r="J9" s="150" t="n"/>
      <c r="K9" s="150" t="n"/>
    </row>
    <row r="10" ht="18" customHeight="1" s="149">
      <c r="A10" s="150" t="n"/>
      <c r="B10" s="260" t="inlineStr">
        <is>
          <t>USD/BRL PTAX</t>
        </is>
      </c>
      <c r="C10" s="264" t="n">
        <v>5.2112</v>
      </c>
      <c r="D10" s="262" t="inlineStr">
        <is>
          <t>Mar 18, 2026</t>
        </is>
      </c>
      <c r="E10" s="262" t="inlineStr">
        <is>
          <t>BCB SGS series 1</t>
        </is>
      </c>
      <c r="F10" s="150" t="n"/>
      <c r="G10" s="150" t="n"/>
      <c r="H10" s="150" t="n"/>
      <c r="I10" s="150" t="n"/>
      <c r="J10" s="150" t="n"/>
      <c r="K10" s="150" t="n"/>
    </row>
    <row r="11" ht="18" customHeight="1" s="149">
      <c r="A11" s="150" t="n"/>
      <c r="B11" s="260" t="inlineStr">
        <is>
          <t>Unemployment (BR)</t>
        </is>
      </c>
      <c r="C11" s="265" t="n">
        <v>5.4</v>
      </c>
      <c r="D11" s="262" t="inlineStr">
        <is>
          <t>Jan 01, 2026</t>
        </is>
      </c>
      <c r="E11" s="262" t="inlineStr">
        <is>
          <t>BCB SGS series 24369</t>
        </is>
      </c>
      <c r="F11" s="150" t="n"/>
      <c r="G11" s="150" t="n"/>
      <c r="H11" s="150" t="n"/>
      <c r="I11" s="150" t="n"/>
      <c r="J11" s="150" t="n"/>
      <c r="K11" s="150" t="n"/>
    </row>
    <row r="12" ht="21.75" customHeight="1" s="149">
      <c r="A12" s="150" t="n"/>
      <c r="B12" s="150" t="n"/>
      <c r="C12" s="150" t="n"/>
      <c r="D12" s="150" t="n"/>
      <c r="E12" s="150" t="n"/>
      <c r="F12" s="150" t="n"/>
      <c r="G12" s="150" t="n"/>
      <c r="H12" s="150" t="n"/>
      <c r="I12" s="150" t="n"/>
      <c r="J12" s="150" t="n"/>
      <c r="K12" s="150" t="n"/>
    </row>
    <row r="13" ht="18" customHeight="1" s="149">
      <c r="A13" s="150" t="n"/>
      <c r="B13" s="154" t="inlineStr">
        <is>
          <t>INTERNATIONAL — FRED (St. Louis Fed)</t>
        </is>
      </c>
      <c r="C13" s="150" t="n"/>
      <c r="D13" s="150" t="n"/>
      <c r="E13" s="150" t="n"/>
      <c r="F13" s="150" t="n"/>
      <c r="G13" s="150" t="n"/>
      <c r="H13" s="150" t="n"/>
      <c r="I13" s="150" t="n"/>
      <c r="J13" s="150" t="n"/>
      <c r="K13" s="150" t="n"/>
    </row>
    <row r="14" ht="18" customHeight="1" s="149">
      <c r="A14" s="150" t="n"/>
      <c r="B14" s="259" t="inlineStr">
        <is>
          <t>Indicator</t>
        </is>
      </c>
      <c r="C14" s="259" t="inlineStr">
        <is>
          <t>Value</t>
        </is>
      </c>
      <c r="D14" s="259" t="inlineStr">
        <is>
          <t>Period</t>
        </is>
      </c>
      <c r="E14" s="259" t="inlineStr">
        <is>
          <t>Source</t>
        </is>
      </c>
      <c r="F14" s="150" t="n"/>
      <c r="G14" s="150" t="n"/>
      <c r="H14" s="150" t="n"/>
      <c r="I14" s="150" t="n"/>
      <c r="J14" s="150" t="n"/>
      <c r="K14" s="150" t="n"/>
    </row>
    <row r="15" ht="18" customHeight="1" s="149">
      <c r="A15" s="150" t="n"/>
      <c r="B15" s="260" t="inlineStr">
        <is>
          <t>Fed Funds Rate</t>
        </is>
      </c>
      <c r="C15" s="263" t="n">
        <v>3.64</v>
      </c>
      <c r="D15" s="262" t="inlineStr">
        <is>
          <t>Feb 01, 2026</t>
        </is>
      </c>
      <c r="E15" s="262" t="inlineStr">
        <is>
          <t>FRED FEDFUNDS</t>
        </is>
      </c>
      <c r="F15" s="150" t="n"/>
      <c r="G15" s="150" t="n"/>
      <c r="H15" s="150" t="n"/>
      <c r="I15" s="150" t="n"/>
      <c r="J15" s="150" t="n"/>
      <c r="K15" s="150" t="n"/>
    </row>
    <row r="16" ht="18" customHeight="1" s="149">
      <c r="A16" s="150" t="n"/>
      <c r="B16" s="260" t="inlineStr">
        <is>
          <t>US CPI YoY</t>
        </is>
      </c>
      <c r="C16" s="266" t="n">
        <v>2.3113</v>
      </c>
      <c r="D16" s="262" t="inlineStr">
        <is>
          <t>Apr 01, 2025</t>
        </is>
      </c>
      <c r="E16" s="262" t="inlineStr">
        <is>
          <t>FRED CPALTT01USM659N</t>
        </is>
      </c>
      <c r="F16" s="150" t="n"/>
      <c r="G16" s="150" t="n"/>
      <c r="H16" s="150" t="n"/>
      <c r="I16" s="150" t="n"/>
      <c r="J16" s="150" t="n"/>
      <c r="K16" s="150" t="n"/>
    </row>
    <row r="17" ht="18" customHeight="1" s="149">
      <c r="A17" s="150" t="n"/>
      <c r="B17" s="260" t="inlineStr">
        <is>
          <t>US Unemployment</t>
        </is>
      </c>
      <c r="C17" s="265" t="n">
        <v>4.4</v>
      </c>
      <c r="D17" s="262" t="inlineStr">
        <is>
          <t>Feb 01, 2026</t>
        </is>
      </c>
      <c r="E17" s="262" t="inlineStr">
        <is>
          <t>FRED UNRATE</t>
        </is>
      </c>
      <c r="F17" s="150" t="n"/>
      <c r="G17" s="150" t="n"/>
      <c r="H17" s="150" t="n"/>
      <c r="I17" s="150" t="n"/>
      <c r="J17" s="150" t="n"/>
      <c r="K17" s="150" t="n"/>
    </row>
    <row r="18" ht="21.75" customHeight="1" s="149">
      <c r="A18" s="150" t="n"/>
      <c r="B18" s="150" t="n"/>
      <c r="C18" s="150" t="n"/>
      <c r="D18" s="150" t="n"/>
      <c r="E18" s="150" t="n"/>
      <c r="F18" s="150" t="n"/>
      <c r="G18" s="150" t="n"/>
      <c r="H18" s="150" t="n"/>
      <c r="I18" s="150" t="n"/>
      <c r="J18" s="150" t="n"/>
      <c r="K18" s="150" t="n"/>
    </row>
    <row r="19" ht="18" customHeight="1" s="149">
      <c r="A19" s="150" t="n"/>
      <c r="B19" s="267" t="inlineStr">
        <is>
          <t>EUROPE — ECB SDW (cached / intermittent)</t>
        </is>
      </c>
      <c r="C19" s="150" t="n"/>
      <c r="D19" s="150" t="n"/>
      <c r="E19" s="150" t="n"/>
      <c r="F19" s="150" t="n"/>
      <c r="G19" s="150" t="n"/>
      <c r="H19" s="150" t="n"/>
      <c r="I19" s="150" t="n"/>
      <c r="J19" s="150" t="n"/>
      <c r="K19" s="150" t="n"/>
    </row>
    <row r="20" ht="18" customHeight="1" s="149">
      <c r="A20" s="150" t="n"/>
      <c r="B20" s="259" t="inlineStr">
        <is>
          <t>Indicator</t>
        </is>
      </c>
      <c r="C20" s="259" t="inlineStr">
        <is>
          <t>Value</t>
        </is>
      </c>
      <c r="D20" s="259" t="inlineStr">
        <is>
          <t>Period</t>
        </is>
      </c>
      <c r="E20" s="259" t="inlineStr">
        <is>
          <t>Source</t>
        </is>
      </c>
      <c r="F20" s="150" t="n"/>
      <c r="G20" s="150" t="n"/>
      <c r="H20" s="150" t="n"/>
      <c r="I20" s="150" t="n"/>
      <c r="J20" s="150" t="n"/>
      <c r="K20" s="150" t="n"/>
    </row>
    <row r="21" ht="18" customHeight="1" s="149">
      <c r="A21" s="150" t="n"/>
      <c r="B21" s="260" t="inlineStr">
        <is>
          <t>ECB Deposit Facility Rate</t>
        </is>
      </c>
      <c r="C21" s="268" t="inlineStr">
        <is>
          <t>—</t>
        </is>
      </c>
      <c r="D21" s="262" t="inlineStr">
        <is>
          <t>Cached / N/A</t>
        </is>
      </c>
      <c r="E21" s="262" t="inlineStr">
        <is>
          <t>ECB SDW FM/B.U2.EUR.4F.KR.DFR.LEV</t>
        </is>
      </c>
      <c r="F21" s="150" t="n"/>
      <c r="G21" s="150" t="n"/>
      <c r="H21" s="150" t="n"/>
      <c r="I21" s="150" t="n"/>
      <c r="J21" s="150" t="n"/>
      <c r="K21" s="150" t="n"/>
    </row>
    <row r="22" ht="18" customHeight="1" s="149">
      <c r="A22" s="150" t="n"/>
      <c r="B22" s="260" t="inlineStr">
        <is>
          <t>EUR/USD</t>
        </is>
      </c>
      <c r="C22" s="268" t="inlineStr">
        <is>
          <t>—</t>
        </is>
      </c>
      <c r="D22" s="262" t="inlineStr">
        <is>
          <t>Cached / N/A</t>
        </is>
      </c>
      <c r="E22" s="262" t="inlineStr">
        <is>
          <t>ECB SDW EXR/D.USD.EUR.SP00.A</t>
        </is>
      </c>
      <c r="F22" s="150" t="n"/>
      <c r="G22" s="150" t="n"/>
      <c r="H22" s="150" t="n"/>
      <c r="I22" s="150" t="n"/>
      <c r="J22" s="150" t="n"/>
      <c r="K22" s="150" t="n"/>
    </row>
    <row r="23" ht="18" customHeight="1" s="149">
      <c r="A23" s="150" t="n"/>
      <c r="B23" s="260" t="inlineStr">
        <is>
          <t>USD/JPY</t>
        </is>
      </c>
      <c r="C23" s="268" t="inlineStr">
        <is>
          <t>—</t>
        </is>
      </c>
      <c r="D23" s="262" t="inlineStr">
        <is>
          <t>Cached / N/A</t>
        </is>
      </c>
      <c r="E23" s="262" t="inlineStr">
        <is>
          <t>ECB SDW EXR/D.JPY.EUR.SP00.A (cross)</t>
        </is>
      </c>
      <c r="F23" s="150" t="n"/>
      <c r="G23" s="150" t="n"/>
      <c r="H23" s="150" t="n"/>
      <c r="I23" s="150" t="n"/>
      <c r="J23" s="150" t="n"/>
      <c r="K23" s="150" t="n"/>
    </row>
    <row r="24" ht="21.75" customHeight="1" s="149">
      <c r="A24" s="150" t="n"/>
      <c r="B24" s="150" t="n"/>
      <c r="C24" s="150" t="n"/>
      <c r="D24" s="150" t="n"/>
      <c r="E24" s="150" t="n"/>
      <c r="F24" s="150" t="n"/>
      <c r="G24" s="150" t="n"/>
      <c r="H24" s="150" t="n"/>
      <c r="I24" s="150" t="n"/>
      <c r="J24" s="150" t="n"/>
      <c r="K24" s="150" t="n"/>
    </row>
    <row r="25" ht="18" customHeight="1" s="149">
      <c r="A25" s="150" t="n"/>
      <c r="B25" s="154" t="inlineStr">
        <is>
          <t>DERIVED SIGNALS</t>
        </is>
      </c>
      <c r="C25" s="150" t="n"/>
      <c r="D25" s="150" t="n"/>
      <c r="E25" s="150" t="n"/>
      <c r="F25" s="150" t="n"/>
      <c r="G25" s="150" t="n"/>
      <c r="H25" s="150" t="n"/>
      <c r="I25" s="150" t="n"/>
      <c r="J25" s="150" t="n"/>
      <c r="K25" s="150" t="n"/>
    </row>
    <row r="26" ht="18" customHeight="1" s="149">
      <c r="A26" s="150" t="n"/>
      <c r="B26" s="259" t="inlineStr">
        <is>
          <t>Signal</t>
        </is>
      </c>
      <c r="C26" s="259" t="inlineStr">
        <is>
          <t>Value</t>
        </is>
      </c>
      <c r="D26" s="259" t="inlineStr">
        <is>
          <t>Formula</t>
        </is>
      </c>
      <c r="E26" s="259" t="inlineStr">
        <is>
          <t>Interpretation</t>
        </is>
      </c>
      <c r="F26" s="150" t="n"/>
      <c r="G26" s="150" t="n"/>
      <c r="H26" s="150" t="n"/>
      <c r="I26" s="150" t="n"/>
      <c r="J26" s="150" t="n"/>
      <c r="K26" s="150" t="n"/>
    </row>
    <row r="27" ht="18" customHeight="1" s="149">
      <c r="A27" s="150" t="n"/>
      <c r="B27" s="269" t="inlineStr">
        <is>
          <t>Carry Spread (SELIC − Fed)</t>
        </is>
      </c>
      <c r="C27" s="270" t="inlineStr">
        <is>
          <t>+11.11pp</t>
        </is>
      </c>
      <c r="D27" s="271" t="inlineStr">
        <is>
          <t>SELIC % − Fed Funds %</t>
        </is>
      </c>
      <c r="E27" s="272" t="inlineStr">
        <is>
          <t>BRL carry highly attractive vs USD; +11.11pp in favor of BRL assets</t>
        </is>
      </c>
      <c r="F27" s="150" t="n"/>
      <c r="G27" s="150" t="n"/>
      <c r="H27" s="150" t="n"/>
      <c r="I27" s="150" t="n"/>
      <c r="J27" s="150" t="n"/>
      <c r="K27" s="150" t="n"/>
    </row>
    <row r="28" ht="18" customHeight="1" s="149">
      <c r="A28" s="150" t="n"/>
      <c r="B28" s="269" t="inlineStr">
        <is>
          <t>Inflation Differential</t>
        </is>
      </c>
      <c r="C28" s="273" t="inlineStr">
        <is>
          <t>+1.50pp</t>
        </is>
      </c>
      <c r="D28" s="271" t="inlineStr">
        <is>
          <t>IPCA YoY % − US CPI %</t>
        </is>
      </c>
      <c r="E28" s="272" t="inlineStr">
        <is>
          <t>Brazil inflation 1.50pp above US CPI; moderate differential</t>
        </is>
      </c>
      <c r="F28" s="150" t="n"/>
      <c r="G28" s="150" t="n"/>
      <c r="H28" s="150" t="n"/>
      <c r="I28" s="150" t="n"/>
      <c r="J28" s="150" t="n"/>
      <c r="K28" s="150" t="n"/>
    </row>
    <row r="29" ht="18" customHeight="1" s="149">
      <c r="A29" s="150" t="n"/>
      <c r="B29" s="269" t="inlineStr">
        <is>
          <t>Regime Signal</t>
        </is>
      </c>
      <c r="C29" s="274" t="inlineStr">
        <is>
          <t>Carry Favorable · BRL</t>
        </is>
      </c>
      <c r="D29" s="271" t="inlineStr">
        <is>
          <t>Selic&gt;Fed</t>
        </is>
      </c>
      <c r="E29" s="272" t="inlineStr">
        <is>
          <t>Hold BRL-denominated assets; offshore carry trade opportunity</t>
        </is>
      </c>
      <c r="F29" s="150" t="n"/>
      <c r="G29" s="150" t="n"/>
      <c r="H29" s="150" t="n"/>
      <c r="I29" s="150" t="n"/>
      <c r="J29" s="150" t="n"/>
      <c r="K29" s="150" t="n"/>
    </row>
    <row r="30" ht="21.75" customHeight="1" s="149">
      <c r="A30" s="150" t="n"/>
      <c r="B30" s="150" t="n"/>
      <c r="C30" s="150" t="n"/>
      <c r="D30" s="150" t="n"/>
      <c r="E30" s="150" t="n"/>
      <c r="F30" s="150" t="n"/>
      <c r="G30" s="150" t="n"/>
      <c r="H30" s="150" t="n"/>
      <c r="I30" s="150" t="n"/>
      <c r="J30" s="150" t="n"/>
      <c r="K30" s="150" t="n"/>
    </row>
    <row r="31" ht="18" customHeight="1" s="149">
      <c r="A31" s="150" t="n"/>
      <c r="B31" s="275" t="inlineStr">
        <is>
          <t>EXCHANGE RATE INPUT  ·  editable hardcoded input → feeds Real Estate USD calc</t>
        </is>
      </c>
      <c r="C31" s="150" t="n"/>
      <c r="D31" s="150" t="n"/>
      <c r="E31" s="150" t="n"/>
      <c r="F31" s="150" t="n"/>
      <c r="G31" s="150" t="n"/>
      <c r="H31" s="150" t="n"/>
      <c r="I31" s="150" t="n"/>
      <c r="J31" s="150" t="n"/>
      <c r="K31" s="150" t="n"/>
    </row>
    <row r="32" ht="18" customHeight="1" s="149">
      <c r="A32" s="150" t="n"/>
      <c r="B32" s="260" t="inlineStr">
        <is>
          <t>USD/BRL Rate</t>
        </is>
      </c>
      <c r="C32" s="276" t="n">
        <v>5.2112</v>
      </c>
      <c r="D32" s="262" t="inlineStr">
        <is>
          <t>BCB PTAX · 2026-03-18</t>
        </is>
      </c>
      <c r="E32" s="262" t="inlineStr">
        <is>
          <t>Source: BCB OData PTAX series, updated daily at ~13:00 BRT</t>
        </is>
      </c>
      <c r="F32" s="150" t="n"/>
      <c r="G32" s="150" t="n"/>
      <c r="H32" s="150" t="n"/>
      <c r="I32" s="150" t="n"/>
      <c r="J32" s="150" t="n"/>
      <c r="K32" s="150" t="n"/>
    </row>
    <row r="33" ht="18" customHeight="1" s="149">
      <c r="A33" s="150" t="n"/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</row>
    <row r="34" ht="18" customHeight="1" s="149">
      <c r="A34" s="150" t="n"/>
      <c r="B34" s="277" t="inlineStr">
        <is>
          <t>LEGEND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</row>
    <row r="35" ht="18" customHeight="1" s="149">
      <c r="A35" s="150" t="n"/>
      <c r="B35" s="278" t="inlineStr">
        <is>
          <t>Blue text = hardcoded input (editable)</t>
        </is>
      </c>
      <c r="C35" s="279" t="inlineStr">
        <is>
          <t>Green text = link to other sheet</t>
        </is>
      </c>
      <c r="D35" s="258" t="inlineStr">
        <is>
          <t>— = API unavailable, using cached or N/A</t>
        </is>
      </c>
      <c r="E35" s="150" t="n"/>
      <c r="F35" s="150" t="n"/>
      <c r="G35" s="150" t="n"/>
      <c r="H35" s="150" t="n"/>
      <c r="I35" s="150" t="n"/>
      <c r="J35" s="150" t="n"/>
      <c r="K35" s="150" t="n"/>
    </row>
    <row r="36" ht="21.75" customHeight="1" s="149">
      <c r="A36" s="150" t="n"/>
      <c r="B36" s="280" t="inlineStr">
        <is>
          <t>Black text = formula / calculated</t>
        </is>
      </c>
      <c r="C36" s="281" t="inlineStr">
        <is>
          <t xml:space="preserve"> </t>
        </is>
      </c>
      <c r="D36" s="150" t="n"/>
      <c r="E36" s="150" t="n"/>
      <c r="F36" s="150" t="n"/>
      <c r="G36" s="150" t="n"/>
      <c r="H36" s="150" t="n"/>
      <c r="I36" s="150" t="n"/>
      <c r="J36" s="150" t="n"/>
      <c r="K36" s="150" t="n"/>
    </row>
    <row r="37" ht="18" customHeight="1" s="149">
      <c r="A37" s="150" t="n"/>
      <c r="B37" s="150" t="n"/>
      <c r="C37" s="150" t="n"/>
      <c r="D37" s="150" t="n"/>
      <c r="E37" s="150" t="n"/>
      <c r="F37" s="150" t="n"/>
      <c r="G37" s="150" t="n"/>
      <c r="H37" s="150" t="n"/>
      <c r="I37" s="150" t="n"/>
      <c r="J37" s="150" t="n"/>
      <c r="K37" s="150" t="n"/>
    </row>
    <row r="38" ht="18" customHeight="1" s="149">
      <c r="A38" s="150" t="n"/>
      <c r="B38" s="150" t="n"/>
      <c r="C38" s="150" t="n"/>
      <c r="D38" s="150" t="n"/>
      <c r="E38" s="150" t="n"/>
      <c r="F38" s="150" t="n"/>
      <c r="G38" s="150" t="n"/>
      <c r="H38" s="150" t="n"/>
      <c r="I38" s="150" t="n"/>
      <c r="J38" s="150" t="n"/>
      <c r="K38" s="150" t="n"/>
    </row>
    <row r="39" ht="18" customHeight="1" s="149">
      <c r="A39" s="150" t="n"/>
      <c r="B39" s="150" t="n"/>
      <c r="C39" s="150" t="n"/>
      <c r="D39" s="150" t="n"/>
      <c r="E39" s="150" t="n"/>
      <c r="F39" s="150" t="n"/>
      <c r="G39" s="150" t="n"/>
      <c r="H39" s="150" t="n"/>
      <c r="I39" s="150" t="n"/>
      <c r="J39" s="150" t="n"/>
      <c r="K39" s="150" t="n"/>
    </row>
    <row r="40" ht="18" customHeight="1" s="149">
      <c r="A40" s="150" t="n"/>
      <c r="B40" s="150" t="n"/>
      <c r="C40" s="150" t="n"/>
      <c r="D40" s="150" t="n"/>
      <c r="E40" s="150" t="n"/>
      <c r="F40" s="150" t="n"/>
      <c r="G40" s="150" t="n"/>
      <c r="H40" s="150" t="n"/>
      <c r="I40" s="150" t="n"/>
      <c r="J40" s="150" t="n"/>
      <c r="K40" s="150" t="n"/>
    </row>
    <row r="41" ht="18" customHeight="1" s="149">
      <c r="A41" s="150" t="n"/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</row>
    <row r="42" ht="18" customHeight="1" s="149">
      <c r="A42" s="150" t="n"/>
      <c r="B42" s="150" t="n"/>
      <c r="C42" s="150" t="n"/>
      <c r="D42" s="150" t="n"/>
      <c r="E42" s="150" t="n"/>
      <c r="F42" s="150" t="n"/>
      <c r="G42" s="150" t="n"/>
      <c r="H42" s="150" t="n"/>
      <c r="I42" s="150" t="n"/>
      <c r="J42" s="150" t="n"/>
      <c r="K42" s="150" t="n"/>
    </row>
    <row r="43" ht="18" customHeight="1" s="149">
      <c r="A43" s="150" t="n"/>
      <c r="B43" s="150" t="n"/>
      <c r="C43" s="150" t="n"/>
      <c r="D43" s="150" t="n"/>
      <c r="E43" s="150" t="n"/>
      <c r="F43" s="150" t="n"/>
      <c r="G43" s="150" t="n"/>
      <c r="H43" s="150" t="n"/>
      <c r="I43" s="150" t="n"/>
      <c r="J43" s="150" t="n"/>
      <c r="K43" s="150" t="n"/>
    </row>
    <row r="44" ht="18" customHeight="1" s="149">
      <c r="A44" s="150" t="n"/>
      <c r="B44" s="150" t="n"/>
      <c r="C44" s="150" t="n"/>
      <c r="D44" s="150" t="n"/>
      <c r="E44" s="150" t="n"/>
      <c r="F44" s="150" t="n"/>
      <c r="G44" s="150" t="n"/>
      <c r="H44" s="150" t="n"/>
      <c r="I44" s="150" t="n"/>
      <c r="J44" s="150" t="n"/>
      <c r="K44" s="150" t="n"/>
    </row>
    <row r="45" ht="18" customHeight="1" s="149">
      <c r="A45" s="150" t="n"/>
      <c r="B45" s="150" t="n"/>
      <c r="C45" s="150" t="n"/>
      <c r="D45" s="150" t="n"/>
      <c r="E45" s="150" t="n"/>
      <c r="F45" s="150" t="n"/>
      <c r="G45" s="150" t="n"/>
      <c r="H45" s="150" t="n"/>
      <c r="I45" s="150" t="n"/>
      <c r="J45" s="150" t="n"/>
      <c r="K45" s="150" t="n"/>
    </row>
    <row r="46" ht="18" customHeight="1" s="149">
      <c r="A46" s="150" t="n"/>
      <c r="B46" s="150" t="n"/>
      <c r="C46" s="150" t="n"/>
      <c r="D46" s="150" t="n"/>
      <c r="E46" s="150" t="n"/>
      <c r="F46" s="150" t="n"/>
      <c r="G46" s="150" t="n"/>
      <c r="H46" s="150" t="n"/>
      <c r="I46" s="150" t="n"/>
      <c r="J46" s="150" t="n"/>
      <c r="K46" s="150" t="n"/>
    </row>
    <row r="47" ht="18" customHeight="1" s="149">
      <c r="A47" s="150" t="n"/>
      <c r="B47" s="150" t="n"/>
      <c r="C47" s="150" t="n"/>
      <c r="D47" s="150" t="n"/>
      <c r="E47" s="150" t="n"/>
      <c r="F47" s="150" t="n"/>
      <c r="G47" s="150" t="n"/>
      <c r="H47" s="150" t="n"/>
      <c r="I47" s="150" t="n"/>
      <c r="J47" s="150" t="n"/>
      <c r="K47" s="150" t="n"/>
    </row>
    <row r="48" ht="18" customHeight="1" s="149">
      <c r="A48" s="150" t="n"/>
      <c r="B48" s="150" t="n"/>
      <c r="C48" s="150" t="n"/>
      <c r="D48" s="150" t="n"/>
      <c r="E48" s="150" t="n"/>
      <c r="F48" s="150" t="n"/>
      <c r="G48" s="150" t="n"/>
      <c r="H48" s="150" t="n"/>
      <c r="I48" s="150" t="n"/>
      <c r="J48" s="150" t="n"/>
      <c r="K48" s="150" t="n"/>
    </row>
    <row r="49" ht="18" customHeight="1" s="149">
      <c r="A49" s="150" t="n"/>
      <c r="B49" s="150" t="n"/>
      <c r="C49" s="150" t="n"/>
      <c r="D49" s="150" t="n"/>
      <c r="E49" s="150" t="n"/>
      <c r="F49" s="150" t="n"/>
      <c r="G49" s="150" t="n"/>
      <c r="H49" s="150" t="n"/>
      <c r="I49" s="150" t="n"/>
      <c r="J49" s="150" t="n"/>
      <c r="K49" s="150" t="n"/>
    </row>
    <row r="50" ht="18" customHeight="1" s="149">
      <c r="A50" s="150" t="n"/>
      <c r="B50" s="150" t="n"/>
      <c r="C50" s="150" t="n"/>
      <c r="D50" s="150" t="n"/>
      <c r="E50" s="150" t="n"/>
      <c r="F50" s="150" t="n"/>
      <c r="G50" s="150" t="n"/>
      <c r="H50" s="150" t="n"/>
      <c r="I50" s="150" t="n"/>
      <c r="J50" s="150" t="n"/>
      <c r="K50" s="150" t="n"/>
    </row>
    <row r="51" ht="18" customHeight="1" s="149">
      <c r="A51" s="150" t="n"/>
      <c r="B51" s="150" t="n"/>
      <c r="C51" s="150" t="n"/>
      <c r="D51" s="150" t="n"/>
      <c r="E51" s="150" t="n"/>
      <c r="F51" s="150" t="n"/>
      <c r="G51" s="150" t="n"/>
      <c r="H51" s="150" t="n"/>
      <c r="I51" s="150" t="n"/>
      <c r="J51" s="150" t="n"/>
      <c r="K51" s="150" t="n"/>
    </row>
    <row r="52" ht="18" customHeight="1" s="149">
      <c r="A52" s="150" t="n"/>
      <c r="B52" s="150" t="n"/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</row>
    <row r="53" ht="18" customHeight="1" s="149">
      <c r="A53" s="150" t="n"/>
      <c r="B53" s="150" t="n"/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0" t="n"/>
    </row>
    <row r="54" ht="18" customHeight="1" s="149">
      <c r="A54" s="150" t="n"/>
      <c r="B54" s="150" t="n"/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5AC8A0"/>
    <outlinePr summaryBelow="1" summaryRight="1"/>
    <pageSetUpPr fitToPage="0"/>
  </sheetPr>
  <dimension ref="A1:U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48" min="2" max="2"/>
    <col width="14" customWidth="1" style="148" min="3" max="3"/>
    <col width="44" customWidth="1" style="148" min="4" max="4"/>
    <col width="12" customWidth="1" style="148" min="5" max="5"/>
    <col width="10" customWidth="1" style="148" min="6" max="6"/>
    <col width="12" customWidth="1" style="148" min="7" max="7"/>
    <col width="20" customWidth="1" style="148" min="8" max="8"/>
    <col width="22" customWidth="1" style="148" min="9" max="10"/>
    <col width="10" customWidth="1" style="148" min="11" max="11"/>
  </cols>
  <sheetData>
    <row r="1" ht="7.5" customHeight="1" s="149">
      <c r="A1" s="150" t="n"/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25.5" customHeight="1" s="149">
      <c r="A2" s="150" t="n"/>
      <c r="B2" s="181" t="inlineStr">
        <is>
          <t>REAL ESTATE INVENTORY  ·  BRAZIL  ·  ~R$ 3.54M  /  ~US$680K @ live PTAX</t>
        </is>
      </c>
      <c r="N2" s="150" t="n"/>
      <c r="O2" s="150" t="n"/>
      <c r="P2" s="150" t="n"/>
      <c r="Q2" s="150" t="n"/>
      <c r="R2" s="150" t="n"/>
      <c r="S2" s="150" t="n"/>
      <c r="T2" s="150" t="n"/>
      <c r="U2" s="150" t="n"/>
    </row>
    <row r="3" ht="6" customHeight="1" s="149"/>
    <row r="4" ht="15.75" customHeight="1" s="149">
      <c r="B4" s="162" t="inlineStr">
        <is>
          <t>#</t>
        </is>
      </c>
      <c r="C4" s="162" t="inlineStr">
        <is>
          <t>Type</t>
        </is>
      </c>
      <c r="D4" s="162" t="inlineStr">
        <is>
          <t>Address</t>
        </is>
      </c>
      <c r="E4" s="162" t="inlineStr">
        <is>
          <t>CEP</t>
        </is>
      </c>
      <c r="F4" s="162" t="inlineStr">
        <is>
          <t>Area (m²)</t>
        </is>
      </c>
      <c r="G4" s="162" t="inlineStr">
        <is>
          <t>R$/m²</t>
        </is>
      </c>
      <c r="H4" s="162" t="inlineStr">
        <is>
          <t>Market Value (BRL)</t>
        </is>
      </c>
      <c r="I4" s="162" t="inlineStr">
        <is>
          <t>Tax Assessment (BRL)</t>
        </is>
      </c>
      <c r="J4" s="162" t="inlineStr">
        <is>
          <t>Building</t>
        </is>
      </c>
      <c r="K4" s="162" t="inlineStr">
        <is>
          <t>Garages</t>
        </is>
      </c>
    </row>
    <row r="5" ht="13.5" customHeight="1" s="149">
      <c r="B5" s="282" t="n">
        <v>1</v>
      </c>
      <c r="C5" s="206" t="inlineStr">
        <is>
          <t>Terreno</t>
        </is>
      </c>
      <c r="D5" s="206" t="inlineStr">
        <is>
          <t>Loteamento Paraná Regina, SN, Nova Veneza</t>
        </is>
      </c>
      <c r="E5" s="282" t="inlineStr">
        <is>
          <t>13183-513</t>
        </is>
      </c>
      <c r="F5" s="283" t="inlineStr">
        <is>
          <t>—</t>
        </is>
      </c>
      <c r="G5" s="283" t="inlineStr">
        <is>
          <t>—</t>
        </is>
      </c>
      <c r="H5" s="284" t="n">
        <v>450000</v>
      </c>
      <c r="I5" s="285" t="n">
        <v>130000</v>
      </c>
      <c r="J5" s="282" t="inlineStr">
        <is>
          <t>—</t>
        </is>
      </c>
      <c r="K5" s="286" t="inlineStr">
        <is>
          <t>—</t>
        </is>
      </c>
    </row>
    <row r="6" ht="13.5" customHeight="1" s="149">
      <c r="B6" s="287" t="n">
        <v>2</v>
      </c>
      <c r="C6" s="210" t="inlineStr">
        <is>
          <t>Apartamento</t>
        </is>
      </c>
      <c r="D6" s="210" t="inlineStr">
        <is>
          <t>Rua Buarque de Macedo, 635, Vila Nova, Campinas</t>
        </is>
      </c>
      <c r="E6" s="287" t="inlineStr">
        <is>
          <t>13073-018</t>
        </is>
      </c>
      <c r="F6" s="225" t="n">
        <v>280</v>
      </c>
      <c r="G6" s="225" t="n">
        <v>7377</v>
      </c>
      <c r="H6" s="288" t="n">
        <v>2065560</v>
      </c>
      <c r="I6" s="289" t="n">
        <v>129173</v>
      </c>
      <c r="J6" s="287" t="inlineStr">
        <is>
          <t>Edifício Populus</t>
        </is>
      </c>
      <c r="K6" s="290" t="n">
        <v>4</v>
      </c>
    </row>
    <row r="7" ht="13.5" customHeight="1" s="149">
      <c r="B7" s="282" t="n">
        <v>3</v>
      </c>
      <c r="C7" s="206" t="inlineStr">
        <is>
          <t>Apartamento</t>
        </is>
      </c>
      <c r="D7" s="206" t="inlineStr">
        <is>
          <t>Rua Dr. Pedro Zimmermann, 840, Ap. 152, Campinas</t>
        </is>
      </c>
      <c r="E7" s="282" t="inlineStr">
        <is>
          <t>13083-040</t>
        </is>
      </c>
      <c r="F7" s="224" t="n">
        <v>88</v>
      </c>
      <c r="G7" s="224" t="n">
        <v>10000</v>
      </c>
      <c r="H7" s="284" t="n">
        <v>880000</v>
      </c>
      <c r="I7" s="285" t="n">
        <v>111614</v>
      </c>
      <c r="J7" s="282" t="inlineStr">
        <is>
          <t>Edifício Magnolia</t>
        </is>
      </c>
      <c r="K7" s="286" t="n">
        <v>2</v>
      </c>
    </row>
    <row r="8" ht="13.5" customHeight="1" s="149">
      <c r="B8" s="287" t="n">
        <v>4</v>
      </c>
      <c r="C8" s="210" t="inlineStr">
        <is>
          <t>Terreno</t>
        </is>
      </c>
      <c r="D8" s="210" t="inlineStr">
        <is>
          <t>Av. dos Bandeirantes, Lote 2, Charqueada</t>
        </is>
      </c>
      <c r="E8" s="287" t="inlineStr">
        <is>
          <t>13260-000</t>
        </is>
      </c>
      <c r="F8" s="291" t="inlineStr">
        <is>
          <t>—</t>
        </is>
      </c>
      <c r="G8" s="291" t="inlineStr">
        <is>
          <t>—</t>
        </is>
      </c>
      <c r="H8" s="288" t="n">
        <v>85000</v>
      </c>
      <c r="I8" s="289" t="n">
        <v>22000</v>
      </c>
      <c r="J8" s="287" t="inlineStr">
        <is>
          <t>—</t>
        </is>
      </c>
      <c r="K8" s="290" t="inlineStr">
        <is>
          <t>—</t>
        </is>
      </c>
    </row>
    <row r="9" ht="13.5" customHeight="1" s="149">
      <c r="B9" s="282" t="n">
        <v>5</v>
      </c>
      <c r="C9" s="206" t="inlineStr">
        <is>
          <t>Terreno</t>
        </is>
      </c>
      <c r="D9" s="206" t="inlineStr">
        <is>
          <t>Rua Getúlio Vargas, SN, Lote 12, Pirapora do Bom Jesus</t>
        </is>
      </c>
      <c r="E9" s="282" t="inlineStr">
        <is>
          <t>06725-000</t>
        </is>
      </c>
      <c r="F9" s="283" t="inlineStr">
        <is>
          <t>—</t>
        </is>
      </c>
      <c r="G9" s="283" t="inlineStr">
        <is>
          <t>—</t>
        </is>
      </c>
      <c r="H9" s="284" t="n">
        <v>63000</v>
      </c>
      <c r="I9" s="285" t="n">
        <v>14000</v>
      </c>
      <c r="J9" s="282" t="inlineStr">
        <is>
          <t>—</t>
        </is>
      </c>
      <c r="K9" s="286" t="inlineStr">
        <is>
          <t>—</t>
        </is>
      </c>
    </row>
    <row r="10" ht="15.75" customHeight="1" s="149">
      <c r="B10" s="221" t="inlineStr">
        <is>
          <t>TOTAL MARKET VALUE</t>
        </is>
      </c>
      <c r="H10" s="292">
        <f>SUM(H5:H9)</f>
        <v/>
      </c>
    </row>
    <row r="11" ht="15.75" customHeight="1" s="149">
      <c r="B11" s="221" t="inlineStr">
        <is>
          <t>TOTAL (USD equiv.)</t>
        </is>
      </c>
      <c r="H11" s="222">
        <f>H10/$C$35</f>
        <v/>
      </c>
    </row>
    <row r="13" ht="6" customHeight="1" s="149"/>
    <row r="14" ht="15" customHeight="1" s="149">
      <c r="B14" s="293" t="inlineStr">
        <is>
          <t>Note: Market values shown in BRL. USD equivalent computed using the exchange rate in cell C35 (editable). Blue cell = hardcoded input.</t>
        </is>
      </c>
    </row>
    <row r="16" ht="22" customHeight="1" s="149">
      <c r="B16" s="294" t="inlineStr">
        <is>
          <t>📊  MARKET MONITOR — CAMPINAS/SP</t>
        </is>
      </c>
      <c r="C16" s="295" t="n"/>
      <c r="D16" s="295" t="n"/>
      <c r="E16" s="295" t="n"/>
      <c r="F16" s="295" t="n"/>
      <c r="G16" s="295" t="n"/>
      <c r="H16" s="295" t="n"/>
      <c r="I16" s="295" t="n"/>
      <c r="J16" s="295" t="n"/>
      <c r="K16" s="295" t="n"/>
    </row>
    <row r="17" ht="20" customHeight="1" s="149">
      <c r="B17" s="296" t="inlineStr">
        <is>
          <t>→  Abrir Monitor: Preço/m² · MPI · Alertas · Séries históricas (Campinas/SP)</t>
        </is>
      </c>
    </row>
    <row r="18" ht="16" customHeight="1" s="149">
      <c r="B18" s="297" t="inlineStr">
        <is>
          <t>Fontes: ZAP/VivaReal · FIPE ZAP+ · ABECIP IGMI-R  |  Granularidade: CEP + Bairro  |  Atualização semanal</t>
        </is>
      </c>
      <c r="C18" s="295" t="n"/>
      <c r="D18" s="295" t="n"/>
      <c r="E18" s="295" t="n"/>
      <c r="F18" s="295" t="n"/>
      <c r="G18" s="295" t="n"/>
      <c r="H18" s="295" t="n"/>
      <c r="I18" s="295" t="n"/>
      <c r="J18" s="295" t="n"/>
      <c r="K18" s="295" t="n"/>
    </row>
    <row r="35" ht="15" customHeight="1" s="149">
      <c r="B35" s="298" t="inlineStr">
        <is>
          <t>USD/BRL Exchange Rate:</t>
        </is>
      </c>
      <c r="C35" s="299" t="n">
        <v>5.2112</v>
      </c>
      <c r="D35" s="258" t="inlineStr">
        <is>
          <t>Source: BCB PTAX OData, 2026-03-18 (series 1, USD/BRL closing rate)</t>
        </is>
      </c>
    </row>
  </sheetData>
  <mergeCells count="5">
    <mergeCell ref="B2:M2"/>
    <mergeCell ref="B14:K14"/>
    <mergeCell ref="B17:K17"/>
    <mergeCell ref="B18:K18"/>
    <mergeCell ref="B16:K16"/>
  </mergeCells>
  <hyperlinks>
    <hyperlink xmlns:r="http://schemas.openxmlformats.org/officeDocument/2006/relationships" ref="B17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2026-03-15T22:41:00Z</dcterms:created>
  <dcterms:modified xmlns:dcterms="http://purl.org/dc/terms/" xmlns:xsi="http://www.w3.org/2001/XMLSchema-instance" xsi:type="dcterms:W3CDTF">2026-03-19T11:01:51Z</dcterms:modified>
  <cp:revision>3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779D82514DC000E06862B769302C96C4_43</vt:lpwstr>
  </property>
  <property name="KSOProductBuildVer" fmtid="{D5CDD505-2E9C-101B-9397-08002B2CF9AE}" pid="3">
    <vt:lpwstr xmlns:vt="http://schemas.openxmlformats.org/officeDocument/2006/docPropsVTypes">1033-12.1.23155.23155</vt:lpwstr>
  </property>
</Properties>
</file>