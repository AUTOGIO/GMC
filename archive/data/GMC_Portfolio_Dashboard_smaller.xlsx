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🥧 Asset Allocation" sheetId="2" state="visible" r:id="rId4"/>
    <sheet name="🗂 Gavetas" sheetId="3" state="visible" r:id="rId5"/>
    <sheet name="📋 Instruments" sheetId="4" state="visible" r:id="rId6"/>
    <sheet name="📈 Equities VISA" sheetId="5" state="visible" r:id="rId7"/>
    <sheet name="₿ Crypto CFM" sheetId="6" state="visible" r:id="rId8"/>
    <sheet name="⚡ Regime &amp; Risk" sheetId="7" state="visible" r:id="rId9"/>
    <sheet name="🏠 Real Estate B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<sst xmlns="http://schemas.openxmlformats.org/spreadsheetml/2006/main" count="533" uniqueCount="277">
  <si>
    <t xml:space="preserve">GIOVANNINI MARE CAPITAL</t>
  </si>
  <si>
    <t xml:space="preserve">GMC Convex Portfolio  ·  Q1 2026  ·  Defensive Convex Regime</t>
  </si>
  <si>
    <t xml:space="preserve">As of: March 11, 2026   |   Base Currency: USD   |   Owner: Single Family Office</t>
  </si>
  <si>
    <t xml:space="preserve">KEY METRICS</t>
  </si>
  <si>
    <t xml:space="preserve">TOTAL PORTFOLIO (USD)</t>
  </si>
  <si>
    <t xml:space="preserve">LIQUID CAPITAL (USD)</t>
  </si>
  <si>
    <t xml:space="preserve">$1,646,000</t>
  </si>
  <si>
    <t xml:space="preserve">$460,000</t>
  </si>
  <si>
    <t xml:space="preserve">Real estate + liquid</t>
  </si>
  <si>
    <t xml:space="preserve">IBKR + Physical Gold</t>
  </si>
  <si>
    <t xml:space="preserve">MACRO REGIME</t>
  </si>
  <si>
    <t xml:space="preserve">STRATEGY STYLE</t>
  </si>
  <si>
    <t xml:space="preserve">Defensive Convex</t>
  </si>
  <si>
    <t xml:space="preserve">Macro Driven / Regime Aware</t>
  </si>
  <si>
    <t xml:space="preserve">Preservation-first</t>
  </si>
  <si>
    <t xml:space="preserve">Convex asymmetry</t>
  </si>
  <si>
    <t xml:space="preserve">CURRENT PORTFOLIO SNAPSHOT</t>
  </si>
  <si>
    <t xml:space="preserve">Asset</t>
  </si>
  <si>
    <t xml:space="preserve">Value (USD)</t>
  </si>
  <si>
    <t xml:space="preserve">Gaveta</t>
  </si>
  <si>
    <t xml:space="preserve">Role</t>
  </si>
  <si>
    <t xml:space="preserve">Signal</t>
  </si>
  <si>
    <t xml:space="preserve">Real Estate (Brazil)</t>
  </si>
  <si>
    <t xml:space="preserve">Tactical Brazil</t>
  </si>
  <si>
    <t xml:space="preserve">Illiquid duration</t>
  </si>
  <si>
    <t xml:space="preserve">Structural hold; underweight tactically</t>
  </si>
  <si>
    <t xml:space="preserve">Cash (IBKR)</t>
  </si>
  <si>
    <t xml:space="preserve">Preservation</t>
  </si>
  <si>
    <t xml:space="preserve">Liquidity reserve</t>
  </si>
  <si>
    <t xml:space="preserve">Deploy per optimization</t>
  </si>
  <si>
    <t xml:space="preserve">Physical Gold (3.2 oz)</t>
  </si>
  <si>
    <t xml:space="preserve">Anti-fragile reserve</t>
  </si>
  <si>
    <t xml:space="preserve">Hold; geo hedge intact</t>
  </si>
  <si>
    <t xml:space="preserve">TOTAL</t>
  </si>
  <si>
    <t xml:space="preserve">CONVEX USD SLEEVE — TARGET ALLOCATION</t>
  </si>
  <si>
    <t xml:space="preserve">Asset Class</t>
  </si>
  <si>
    <t xml:space="preserve">Target %</t>
  </si>
  <si>
    <t xml:space="preserve">Amount (USD)</t>
  </si>
  <si>
    <t xml:space="preserve">Min %</t>
  </si>
  <si>
    <t xml:space="preserve">Max %</t>
  </si>
  <si>
    <t xml:space="preserve">Cash</t>
  </si>
  <si>
    <t xml:space="preserve">Liquidity &amp; optionality reserve</t>
  </si>
  <si>
    <t xml:space="preserve">Bonds</t>
  </si>
  <si>
    <t xml:space="preserve">Risk-off ballast &amp; yield capture</t>
  </si>
  <si>
    <t xml:space="preserve">Gold</t>
  </si>
  <si>
    <t xml:space="preserve">Anti-fragile / debasement hedge</t>
  </si>
  <si>
    <t xml:space="preserve">Equities</t>
  </si>
  <si>
    <t xml:space="preserve">Selective global growth exposure</t>
  </si>
  <si>
    <t xml:space="preserve">Bitcoin</t>
  </si>
  <si>
    <t xml:space="preserve">Convex asymmetric optionality</t>
  </si>
  <si>
    <t xml:space="preserve">ASSET ALLOCATION — GMC CONVEX PORTFOLIO</t>
  </si>
  <si>
    <t xml:space="preserve">Target Weight</t>
  </si>
  <si>
    <t xml:space="preserve">Min Weight</t>
  </si>
  <si>
    <t xml:space="preserve">Max Weight</t>
  </si>
  <si>
    <t xml:space="preserve">Volatility</t>
  </si>
  <si>
    <t xml:space="preserve">Liquidity</t>
  </si>
  <si>
    <t xml:space="preserve">Very Low</t>
  </si>
  <si>
    <t xml:space="preserve">Immediate</t>
  </si>
  <si>
    <t xml:space="preserve">Low</t>
  </si>
  <si>
    <t xml:space="preserve">High</t>
  </si>
  <si>
    <t xml:space="preserve">Medium</t>
  </si>
  <si>
    <t xml:space="preserve">Medium-Hi</t>
  </si>
  <si>
    <t xml:space="preserve">Weight %</t>
  </si>
  <si>
    <t xml:space="preserve">GAVETAS — OPTIMIZED ALLOCATION  ·  US$460,000</t>
  </si>
  <si>
    <t xml:space="preserve">Allocation (USD)</t>
  </si>
  <si>
    <t xml:space="preserve">Rationale</t>
  </si>
  <si>
    <t xml:space="preserve">Preservation &amp; Optionality</t>
  </si>
  <si>
    <t xml:space="preserve">Anchor resilience; cash as default, or TFLO for yield without fragility.</t>
  </si>
  <si>
    <t xml:space="preserve">Convex Growth: Equities (VISA)</t>
  </si>
  <si>
    <t xml:space="preserve">Mid-term global exposure; outperforms benchmarks on &gt;1-year horizon.</t>
  </si>
  <si>
    <t xml:space="preserve">Convex Growth: Crypto (CFM)</t>
  </si>
  <si>
    <t xml:space="preserve">Defensive BTC focus; fragility stable—aportes window open.</t>
  </si>
  <si>
    <t xml:space="preserve">No new exposure; BRL weakness signals underweight.</t>
  </si>
  <si>
    <t xml:space="preserve">IMPLEMENTATION NOTES</t>
  </si>
  <si>
    <t xml:space="preserve">• Use IBKR's TWS or Client Portal for all trades.</t>
  </si>
  <si>
    <t xml:space="preserve">• For crypto: Enable permissions via Settings &gt; Trading &gt; Trading Permissions.</t>
  </si>
  <si>
    <t xml:space="preserve">• Taxes/Succession: Favor UCITS ETFs where beneficial.</t>
  </si>
  <si>
    <t xml:space="preserve">• Horizon: Multi-cycle; tolerate volatility for convex payoffs.</t>
  </si>
  <si>
    <t xml:space="preserve">USD ($)</t>
  </si>
  <si>
    <t xml:space="preserve">ALL INSTRUMENTS — FULL INSTRUMENT TABLE</t>
  </si>
  <si>
    <t xml:space="preserve">Ticker</t>
  </si>
  <si>
    <t xml:space="preserve">Name</t>
  </si>
  <si>
    <t xml:space="preserve">Type</t>
  </si>
  <si>
    <t xml:space="preserve">Custodian</t>
  </si>
  <si>
    <t xml:space="preserve">Currency</t>
  </si>
  <si>
    <t xml:space="preserve">Status</t>
  </si>
  <si>
    <t xml:space="preserve">Notes</t>
  </si>
  <si>
    <t xml:space="preserve">—</t>
  </si>
  <si>
    <t xml:space="preserve">USD Bank Cash</t>
  </si>
  <si>
    <t xml:space="preserve">cash</t>
  </si>
  <si>
    <t xml:space="preserve">bank</t>
  </si>
  <si>
    <t xml:space="preserve">USD</t>
  </si>
  <si>
    <t xml:space="preserve">planned</t>
  </si>
  <si>
    <t xml:space="preserve">Immediate liquidity reserve.</t>
  </si>
  <si>
    <t xml:space="preserve">TFLO</t>
  </si>
  <si>
    <t xml:space="preserve">iShares Treasury Floating Rate</t>
  </si>
  <si>
    <t xml:space="preserve">etf</t>
  </si>
  <si>
    <t xml:space="preserve">brokerage</t>
  </si>
  <si>
    <t xml:space="preserve">Ultra-short Treasury parking sleeve.</t>
  </si>
  <si>
    <t xml:space="preserve">IEF</t>
  </si>
  <si>
    <t xml:space="preserve">iShares 7-10Y Treasury Bond ETF</t>
  </si>
  <si>
    <t xml:space="preserve">Intermediate duration exposure.</t>
  </si>
  <si>
    <t xml:space="preserve">TLT</t>
  </si>
  <si>
    <t xml:space="preserve">iShares 20+ Year Treasury ETF</t>
  </si>
  <si>
    <t xml:space="preserve">Long duration convex sleeve.</t>
  </si>
  <si>
    <t xml:space="preserve">GLDM</t>
  </si>
  <si>
    <t xml:space="preserve">SPDR Gold MiniShares Trust</t>
  </si>
  <si>
    <t xml:space="preserve">Liquid gold proxy.</t>
  </si>
  <si>
    <t xml:space="preserve">GDX</t>
  </si>
  <si>
    <t xml:space="preserve">VanEck Gold Miners ETF</t>
  </si>
  <si>
    <t xml:space="preserve">Gold miners for geo premium leverage.</t>
  </si>
  <si>
    <t xml:space="preserve">Liquidity buffer within equities.</t>
  </si>
  <si>
    <t xml:space="preserve">EWZ</t>
  </si>
  <si>
    <t xml:space="preserve">iShares MSCI Brazil ETF</t>
  </si>
  <si>
    <t xml:space="preserve">Tactical EM exposure.</t>
  </si>
  <si>
    <t xml:space="preserve">SPY</t>
  </si>
  <si>
    <t xml:space="preserve">SPDR S&amp;P 500 ETF Trust</t>
  </si>
  <si>
    <t xml:space="preserve">Core US growth.</t>
  </si>
  <si>
    <t xml:space="preserve">Geo hedge.</t>
  </si>
  <si>
    <t xml:space="preserve">XLU</t>
  </si>
  <si>
    <t xml:space="preserve">Utilities Select Sector SPDR</t>
  </si>
  <si>
    <t xml:space="preserve">Defensive sector.</t>
  </si>
  <si>
    <t xml:space="preserve">VXX</t>
  </si>
  <si>
    <t xml:space="preserve">iPath S&amp;P 500 VIX Short-Term ETN</t>
  </si>
  <si>
    <t xml:space="preserve">etn</t>
  </si>
  <si>
    <t xml:space="preserve">Convex hedge against drawdowns.</t>
  </si>
  <si>
    <t xml:space="preserve">FXI</t>
  </si>
  <si>
    <t xml:space="preserve">iShares China Large-Cap ETF</t>
  </si>
  <si>
    <t xml:space="preserve">China recovery play.</t>
  </si>
  <si>
    <t xml:space="preserve">EWH</t>
  </si>
  <si>
    <t xml:space="preserve">iShares MSCI Hong Kong ETF</t>
  </si>
  <si>
    <t xml:space="preserve">China proxy.</t>
  </si>
  <si>
    <t xml:space="preserve">BABA</t>
  </si>
  <si>
    <t xml:space="preserve">Alibaba Group Holding ADR</t>
  </si>
  <si>
    <t xml:space="preserve">adr</t>
  </si>
  <si>
    <t xml:space="preserve">China tech recovery.</t>
  </si>
  <si>
    <t xml:space="preserve">BIDU</t>
  </si>
  <si>
    <t xml:space="preserve">Baidu Inc ADR</t>
  </si>
  <si>
    <t xml:space="preserve">China AI/search.</t>
  </si>
  <si>
    <t xml:space="preserve">MSTR</t>
  </si>
  <si>
    <t xml:space="preserve">MicroStrategy Inc</t>
  </si>
  <si>
    <t xml:space="preserve">stock</t>
  </si>
  <si>
    <t xml:space="preserve">BTC proxy; leveraged.</t>
  </si>
  <si>
    <t xml:space="preserve">RIOT</t>
  </si>
  <si>
    <t xml:space="preserve">Riot Platforms Inc</t>
  </si>
  <si>
    <t xml:space="preserve">BTC mining efficiency.</t>
  </si>
  <si>
    <t xml:space="preserve">CLSK</t>
  </si>
  <si>
    <t xml:space="preserve">CleanSpark Inc</t>
  </si>
  <si>
    <t xml:space="preserve">Green BTC mining.</t>
  </si>
  <si>
    <t xml:space="preserve">COIN</t>
  </si>
  <si>
    <t xml:space="preserve">Coinbase Global Inc</t>
  </si>
  <si>
    <t xml:space="preserve">Crypto exchange.</t>
  </si>
  <si>
    <t xml:space="preserve">TSLA</t>
  </si>
  <si>
    <t xml:space="preserve">Tesla Inc</t>
  </si>
  <si>
    <t xml:space="preserve">EV/IA growth.</t>
  </si>
  <si>
    <t xml:space="preserve">BTC</t>
  </si>
  <si>
    <t xml:space="preserve">Bitcoin Spot</t>
  </si>
  <si>
    <t xml:space="preserve">digital_asset</t>
  </si>
  <si>
    <t xml:space="preserve">Direct BTC ownership; core reserve.</t>
  </si>
  <si>
    <t xml:space="preserve">ETH</t>
  </si>
  <si>
    <t xml:space="preserve">Ethereum Spot</t>
  </si>
  <si>
    <t xml:space="preserve">Scaling layer; quantum resilience.</t>
  </si>
  <si>
    <t xml:space="preserve">LTC</t>
  </si>
  <si>
    <t xml:space="preserve">Litecoin Spot</t>
  </si>
  <si>
    <t xml:space="preserve">Payment efficiency.</t>
  </si>
  <si>
    <t xml:space="preserve">LINK</t>
  </si>
  <si>
    <t xml:space="preserve">Chainlink Spot</t>
  </si>
  <si>
    <t xml:space="preserve">Oracles; ecosystem convexity.</t>
  </si>
  <si>
    <t xml:space="preserve">EQUITIES COMPOSITION  ·  VISA AÇÕES  ·  US$138,000</t>
  </si>
  <si>
    <t xml:space="preserve">Description</t>
  </si>
  <si>
    <t xml:space="preserve">Approx Shares</t>
  </si>
  <si>
    <t xml:space="preserve">Alloc USD</t>
  </si>
  <si>
    <t xml:space="preserve">Cash Equivalent ETF</t>
  </si>
  <si>
    <t xml:space="preserve">Liquidity buffer; rebalancing tool.</t>
  </si>
  <si>
    <t xml:space="preserve">Brazil ETF</t>
  </si>
  <si>
    <t xml:space="preserve">Tactical EM; opportunistic only.</t>
  </si>
  <si>
    <t xml:space="preserve">S&amp;P 500 ETF</t>
  </si>
  <si>
    <t xml:space="preserve">Core US growth; secular tech/IA tailwinds.</t>
  </si>
  <si>
    <t xml:space="preserve">Gold Miners ETF</t>
  </si>
  <si>
    <t xml:space="preserve">Geo hedge; supports gold premium on Iran risks.</t>
  </si>
  <si>
    <t xml:space="preserve">Utilities ETF</t>
  </si>
  <si>
    <t xml:space="preserve">Defensive sector; duration-like stability.</t>
  </si>
  <si>
    <t xml:space="preserve">Volatility ETN</t>
  </si>
  <si>
    <t xml:space="preserve">Convex drawdown hedge.</t>
  </si>
  <si>
    <t xml:space="preserve">China Large-Cap ETF</t>
  </si>
  <si>
    <t xml:space="preserve">China recovery play; new bull wave imminent.</t>
  </si>
  <si>
    <t xml:space="preserve">Hong Kong ETF</t>
  </si>
  <si>
    <t xml:space="preserve">China proxy; undervalued asymmetry.</t>
  </si>
  <si>
    <t xml:space="preserve">Alibaba ADR</t>
  </si>
  <si>
    <t xml:space="preserve">Baidu ADR</t>
  </si>
  <si>
    <t xml:space="preserve">China AI/search; undervalued.</t>
  </si>
  <si>
    <t xml:space="preserve">MicroStrategy</t>
  </si>
  <si>
    <t xml:space="preserve">Riot Platforms</t>
  </si>
  <si>
    <t xml:space="preserve">CleanSpark</t>
  </si>
  <si>
    <t xml:space="preserve">Coinbase</t>
  </si>
  <si>
    <t xml:space="preserve">Crypto ecosystem.</t>
  </si>
  <si>
    <t xml:space="preserve">Tesla</t>
  </si>
  <si>
    <t xml:space="preserve">NOTES</t>
  </si>
  <si>
    <t xml:space="preserve">• Assumed prices based on March 2026 estimates; execute at current quotes.</t>
  </si>
  <si>
    <t xml:space="preserve">• Alternatives: CSPX for SPY, FLOA for TFLO.</t>
  </si>
  <si>
    <t xml:space="preserve">• Performance: +333% BRL since 2019; convex from dólar-real, metals, BTC/China.</t>
  </si>
  <si>
    <t xml:space="preserve">CRYPTO COMPOSITION  ·  CFM  ·  US$46,000 (ADJUSTED)</t>
  </si>
  <si>
    <t xml:space="preserve">Coin</t>
  </si>
  <si>
    <t xml:space="preserve">Adj. Weight %</t>
  </si>
  <si>
    <t xml:space="preserve">Approx Qty</t>
  </si>
  <si>
    <t xml:space="preserve">Reserve asset; positive macro regime.</t>
  </si>
  <si>
    <t xml:space="preserve">Ethereum</t>
  </si>
  <si>
    <t xml:space="preserve">Scaling layer; quantum-resilient.</t>
  </si>
  <si>
    <t xml:space="preserve">Litecoin</t>
  </si>
  <si>
    <t xml:space="preserve">Payment efficiency; low fragility.</t>
  </si>
  <si>
    <t xml:space="preserve">Chainlink</t>
  </si>
  <si>
    <t xml:space="preserve">• Assumed prices for illustration; trade at current market prices.</t>
  </si>
  <si>
    <t xml:space="preserve">• Adjusted for IBKR spot availability; unsupported alts skipped.</t>
  </si>
  <si>
    <t xml:space="preserve">• Performance: +2,404% BRL since 2018; CAGR ~50% p.a.</t>
  </si>
  <si>
    <t xml:space="preserve">REGIME ENGINE  ·  STRESS SCENARIOS  ·  RISK FRAMEWORK</t>
  </si>
  <si>
    <t xml:space="preserve">CURRENT REGIME</t>
  </si>
  <si>
    <t xml:space="preserve">REGIME TARGET WEIGHTS BY ASSET CLASS</t>
  </si>
  <si>
    <t xml:space="preserve">Liquidity Crisis</t>
  </si>
  <si>
    <t xml:space="preserve">Expansion</t>
  </si>
  <si>
    <t xml:space="preserve">STRESS SCENARIOS</t>
  </si>
  <si>
    <t xml:space="preserve">Scenario</t>
  </si>
  <si>
    <t xml:space="preserve">Winners</t>
  </si>
  <si>
    <t xml:space="preserve">Losers</t>
  </si>
  <si>
    <t xml:space="preserve">USD Liquidity Crunch</t>
  </si>
  <si>
    <t xml:space="preserve">Dollar shortage, rising DXY, widening risk spreads</t>
  </si>
  <si>
    <t xml:space="preserve">Cash, Bonds, Gold</t>
  </si>
  <si>
    <t xml:space="preserve">Equities, Bitcoin</t>
  </si>
  <si>
    <t xml:space="preserve">Monetary Debasement</t>
  </si>
  <si>
    <t xml:space="preserve">Renewed monetization and weakening fiat credibility</t>
  </si>
  <si>
    <t xml:space="preserve">Gold, Bitcoin</t>
  </si>
  <si>
    <t xml:space="preserve">Global Risk-On</t>
  </si>
  <si>
    <t xml:space="preserve">Falling volatility and broad liquidity expansion</t>
  </si>
  <si>
    <t xml:space="preserve">Geopolitical Escalation</t>
  </si>
  <si>
    <t xml:space="preserve">Commodity shock and cross-asset risk aversion</t>
  </si>
  <si>
    <t xml:space="preserve">Gold, Cash, Long Bonds</t>
  </si>
  <si>
    <t xml:space="preserve">PORTFOLIO RISK CONSTRAINTS</t>
  </si>
  <si>
    <t xml:space="preserve">Constraint</t>
  </si>
  <si>
    <t xml:space="preserve">Limit</t>
  </si>
  <si>
    <t xml:space="preserve">Max Single Instrument Weight</t>
  </si>
  <si>
    <t xml:space="preserve">15%</t>
  </si>
  <si>
    <t xml:space="preserve">Max High-Volatility Bucket</t>
  </si>
  <si>
    <t xml:space="preserve">40%</t>
  </si>
  <si>
    <t xml:space="preserve">Min Liquid Assets</t>
  </si>
  <si>
    <t xml:space="preserve">50%</t>
  </si>
  <si>
    <t xml:space="preserve">Min USD-Denominated Assets</t>
  </si>
  <si>
    <t xml:space="preserve">70%</t>
  </si>
  <si>
    <t xml:space="preserve">Leverage Allowed</t>
  </si>
  <si>
    <t xml:space="preserve">No</t>
  </si>
  <si>
    <t xml:space="preserve">Illiquid Private Assets</t>
  </si>
  <si>
    <t xml:space="preserve">REAL ESTATE INVENTORY  ·  BRAZIL  ·  ~R$ 6.9M  /  ~US$1,178,000</t>
  </si>
  <si>
    <t xml:space="preserve">#</t>
  </si>
  <si>
    <t xml:space="preserve">Address</t>
  </si>
  <si>
    <t xml:space="preserve">CEP</t>
  </si>
  <si>
    <t xml:space="preserve">Area (m²)</t>
  </si>
  <si>
    <t xml:space="preserve">R$/m²</t>
  </si>
  <si>
    <t xml:space="preserve">Market Value (BRL)</t>
  </si>
  <si>
    <t xml:space="preserve">Tax Assessment (BRL)</t>
  </si>
  <si>
    <t xml:space="preserve">Building</t>
  </si>
  <si>
    <t xml:space="preserve">Garages</t>
  </si>
  <si>
    <t xml:space="preserve">Terreno</t>
  </si>
  <si>
    <t xml:space="preserve">Loteamento Paraná Regina, SN, Nova Veneza</t>
  </si>
  <si>
    <t xml:space="preserve">13183-513</t>
  </si>
  <si>
    <t xml:space="preserve">Apartamento</t>
  </si>
  <si>
    <t xml:space="preserve">Rua Buarque de Macedo, 635, Vila Nova, Campinas</t>
  </si>
  <si>
    <t xml:space="preserve">13073-018</t>
  </si>
  <si>
    <t xml:space="preserve">Edifício Populus</t>
  </si>
  <si>
    <t xml:space="preserve">Rua Dr. Pedro Zimmermann, 840, Ap. 152, Campinas</t>
  </si>
  <si>
    <t xml:space="preserve">13083-040</t>
  </si>
  <si>
    <t xml:space="preserve">Edifício Magnolia</t>
  </si>
  <si>
    <t xml:space="preserve">Av. dos Bandeirantes, Lote 2, Charqueada</t>
  </si>
  <si>
    <t xml:space="preserve">13260-000</t>
  </si>
  <si>
    <t xml:space="preserve">Rua Getúlio Vargas, SN, Lote 12, Pirapora do Bom Jesus</t>
  </si>
  <si>
    <t xml:space="preserve">06725-000</t>
  </si>
  <si>
    <t xml:space="preserve">TOTAL MARKET VALUE</t>
  </si>
  <si>
    <t xml:space="preserve">TOTAL (USD equiv.)</t>
  </si>
  <si>
    <t xml:space="preserve">Note: Market values shown in BRL. USD equivalent computed using the exchange rate in cell C35 (editable). Blue cell = hardcoded input.</t>
  </si>
  <si>
    <t xml:space="preserve">USD/BRL Exchange Rate: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</si>
</sst>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0%"/>
    <numFmt numFmtId="168" formatCode="0.00%"/>
    <numFmt numFmtId="169" formatCode="#,##0"/>
    <numFmt numFmtId="170" formatCode="#,##0.000"/>
    <numFmt numFmtId="171" formatCode="&quot;R$ &quot;#,##0"/>
    <numFmt numFmtId="172" formatCode="0.00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0C0C0"/>
      <name val="Arial"/>
      <family val="0"/>
      <charset val="1"/>
    </font>
    <font>
      <sz val="11"/>
      <color rgb="FF94A3B8"/>
      <name val="Arial"/>
      <family val="0"/>
      <charset val="1"/>
    </font>
    <font>
      <sz val="9"/>
      <color rgb="FF4A4E52"/>
      <name val="Arial"/>
      <family val="0"/>
      <charset val="1"/>
    </font>
    <font>
      <b val="true"/>
      <sz val="10"/>
      <color rgb="FFC0C0C0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4"/>
      <color rgb="FFD0FF00"/>
      <name val="Arial"/>
      <family val="0"/>
      <charset val="1"/>
    </font>
    <font>
      <b val="true"/>
      <sz val="14"/>
      <color rgb="FF4A90D9"/>
      <name val="Arial"/>
      <family val="0"/>
      <charset val="1"/>
    </font>
    <font>
      <sz val="8"/>
      <color rgb="FF94A3B8"/>
      <name val="Arial"/>
      <family val="0"/>
      <charset val="1"/>
    </font>
    <font>
      <b val="true"/>
      <sz val="14"/>
      <color rgb="FFC0C0C0"/>
      <name val="Arial"/>
      <family val="0"/>
      <charset val="1"/>
    </font>
    <font>
      <b val="true"/>
      <sz val="9"/>
      <color rgb="FF0A0A0F"/>
      <name val="Arial"/>
      <family val="0"/>
      <charset val="1"/>
    </font>
    <font>
      <sz val="9"/>
      <color rgb="FFF8FAFC"/>
      <name val="Arial"/>
      <family val="0"/>
      <charset val="1"/>
    </font>
    <font>
      <sz val="9"/>
      <color rgb="FFD0FF00"/>
      <name val="Arial"/>
      <family val="0"/>
      <charset val="1"/>
    </font>
    <font>
      <b val="true"/>
      <sz val="9"/>
      <color rgb="FFC0C0C0"/>
      <name val="Arial"/>
      <family val="0"/>
      <charset val="1"/>
    </font>
    <font>
      <b val="true"/>
      <sz val="9"/>
      <color rgb="FFD0FF00"/>
      <name val="Arial"/>
      <family val="0"/>
      <charset val="1"/>
    </font>
    <font>
      <b val="true"/>
      <sz val="9"/>
      <color rgb="FF4A90D9"/>
      <name val="Arial"/>
      <family val="0"/>
      <charset val="1"/>
    </font>
    <font>
      <b val="true"/>
      <sz val="9"/>
      <color rgb="FF5AC8A0"/>
      <name val="Arial"/>
      <family val="0"/>
      <charset val="1"/>
    </font>
    <font>
      <b val="true"/>
      <sz val="9"/>
      <color rgb="FFF5C842"/>
      <name val="Arial"/>
      <family val="0"/>
      <charset val="1"/>
    </font>
    <font>
      <b val="true"/>
      <sz val="9"/>
      <color rgb="FF8B5CF6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10"/>
      <color rgb="FF0A0A0F"/>
      <name val="Arial"/>
      <family val="0"/>
      <charset val="1"/>
    </font>
    <font>
      <b val="true"/>
      <sz val="10"/>
      <color rgb="FF4A90D9"/>
      <name val="Arial"/>
      <family val="0"/>
      <charset val="1"/>
    </font>
    <font>
      <sz val="10"/>
      <color rgb="FFF8FAFC"/>
      <name val="Arial"/>
      <family val="0"/>
      <charset val="1"/>
    </font>
    <font>
      <sz val="10"/>
      <color rgb="FFD0FF00"/>
      <name val="Arial"/>
      <family val="0"/>
      <charset val="1"/>
    </font>
    <font>
      <b val="true"/>
      <sz val="10"/>
      <color rgb="FF5AC8A0"/>
      <name val="Arial"/>
      <family val="0"/>
      <charset val="1"/>
    </font>
    <font>
      <b val="true"/>
      <sz val="10"/>
      <color rgb="FFF5C842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0"/>
      <color rgb="FFD0FF00"/>
      <name val="Arial"/>
      <family val="0"/>
      <charset val="1"/>
    </font>
    <font>
      <b val="true"/>
      <sz val="9"/>
      <color rgb="FFF8FAF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8"/>
      <color rgb="FFF8FAFC"/>
      <name val="Arial"/>
      <family val="0"/>
      <charset val="1"/>
    </font>
    <font>
      <b val="true"/>
      <sz val="10"/>
      <color rgb="FF9CA3AF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6"/>
      <color rgb="FFD0FF00"/>
      <name val="Arial"/>
      <family val="0"/>
      <charset val="1"/>
    </font>
    <font>
      <sz val="9"/>
      <color rgb="FF5AC8A0"/>
      <name val="Arial"/>
      <family val="0"/>
      <charset val="1"/>
    </font>
    <font>
      <sz val="9"/>
      <color rgb="FFF97316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0A0F"/>
        <bgColor rgb="FF0E1016"/>
      </patternFill>
    </fill>
    <fill>
      <patternFill patternType="solid">
        <fgColor rgb="FF12141A"/>
        <bgColor rgb="FF0E1016"/>
      </patternFill>
    </fill>
    <fill>
      <patternFill patternType="solid">
        <fgColor rgb="FFC0C0C0"/>
        <bgColor rgb="FFD9D9D9"/>
      </patternFill>
    </fill>
    <fill>
      <patternFill patternType="solid">
        <fgColor rgb="FF0E1016"/>
        <bgColor rgb="FF12141A"/>
      </patternFill>
    </fill>
    <fill>
      <patternFill patternType="solid">
        <fgColor rgb="FF1A1D25"/>
        <bgColor rgb="FF1A2030"/>
      </patternFill>
    </fill>
    <fill>
      <patternFill patternType="solid">
        <fgColor rgb="FF1A2030"/>
        <bgColor rgb="FF1A1D25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D35"/>
      </left>
      <right style="thin">
        <color rgb="FF2A2D35"/>
      </right>
      <top style="thin">
        <color rgb="FF2A2D35"/>
      </top>
      <bottom style="thin">
        <color rgb="FF2A2D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D0FF00"/>
      <rgbColor rgb="FFFF00FF"/>
      <rgbColor rgb="FF00FFFF"/>
      <rgbColor rgb="FF800000"/>
      <rgbColor rgb="FF008000"/>
      <rgbColor rgb="FF0E1016"/>
      <rgbColor rgb="FF808000"/>
      <rgbColor rgb="FF800080"/>
      <rgbColor rgb="FF008080"/>
      <rgbColor rgb="FFC0C0C0"/>
      <rgbColor rgb="FF878787"/>
      <rgbColor rgb="FF94A3B8"/>
      <rgbColor rgb="FFC0504D"/>
      <rgbColor rgb="FFFFF9C4"/>
      <rgbColor rgb="FFF9F9F9"/>
      <rgbColor rgb="FF660066"/>
      <rgbColor rgb="FFFF8080"/>
      <rgbColor rgb="FF0066CC"/>
      <rgbColor rgb="FFD9D9D9"/>
      <rgbColor rgb="FF0A0A0F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D9"/>
      <rgbColor rgb="FF5AC8A0"/>
      <rgbColor rgb="FF9BBB59"/>
      <rgbColor rgb="FFF5C842"/>
      <rgbColor rgb="FFFF9900"/>
      <rgbColor rgb="FFF97316"/>
      <rgbColor rgb="FF4F81BD"/>
      <rgbColor rgb="FF9CA3AF"/>
      <rgbColor rgb="FF12141A"/>
      <rgbColor rgb="FF339966"/>
      <rgbColor rgb="FF1A2030"/>
      <rgbColor rgb="FF1A1D25"/>
      <rgbColor rgb="FF993300"/>
      <rgbColor rgb="FF8B5CF6"/>
      <rgbColor rgb="FF4A4E52"/>
      <rgbColor rgb="FF2A2D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Target Allocation by Asset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'🥧 Asset Allocation'!O12</c:f>
              <c:strCache>
                <c:ptCount val="1"/>
                <c:pt idx="0">
                  <c:v>Weight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1a1d25"/>
              </a:solidFill>
              <a:round/>
            </a:ln>
          </c:spPr>
          <c:explosion val="0"/>
          <c:dPt>
            <c:idx val="0"/>
            <c:spPr>
              <a:solidFill>
                <a:srgbClr val="4a90d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5ac8a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f5c84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b5cf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f9731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  <c:leaderLines>
              <c:spPr>
                <a:ln w="0">
                  <a:solidFill>
                    <a:srgbClr val="1a1d25"/>
                  </a:solidFill>
                </a:ln>
              </c:spPr>
            </c:leaderLines>
          </c:dLbls>
          <c:cat>
            <c:strRef>
              <c:f>'🥧 Asset Allocation'!$N$13:$N$17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'🥧 Asset Allocation'!$O$13:$O$17</c:f>
              <c:numCache>
                <c:formatCode>General</c:formatCode>
                <c:ptCount val="5"/>
                <c:pt idx="0">
                  <c:v>0.25</c:v>
                </c:pt>
                <c:pt idx="1">
                  <c:v>0.15</c:v>
                </c:pt>
                <c:pt idx="2">
                  <c:v>0.2</c:v>
                </c:pt>
                <c:pt idx="3">
                  <c:v>0.3</c:v>
                </c:pt>
                <c:pt idx="4">
                  <c:v>0.1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Allocation by Amount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'🥧 Asset Allocation'!D4</c:f>
              <c:strCache>
                <c:ptCount val="1"/>
                <c:pt idx="0">
                  <c:v>Amount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'🥧 Asset Allocation'!$N$13:$N$17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'🥧 Asset Allocation'!$D$5:$D$9</c:f>
              <c:numCache>
                <c:formatCode>\$#,##0</c:formatCode>
                <c:ptCount val="5"/>
                <c:pt idx="0">
                  <c:v>115000</c:v>
                </c:pt>
                <c:pt idx="1">
                  <c:v>69000</c:v>
                </c:pt>
                <c:pt idx="2">
                  <c:v>92000</c:v>
                </c:pt>
                <c:pt idx="3">
                  <c:v>138000</c:v>
                </c:pt>
                <c:pt idx="4">
                  <c:v>46000</c:v>
                </c:pt>
              </c:numCache>
            </c:numRef>
          </c:val>
        </c:ser>
        <c:gapWidth val="150"/>
        <c:overlap val="0"/>
        <c:axId val="12876643"/>
        <c:axId val="47171272"/>
      </c:barChart>
      <c:catAx>
        <c:axId val="12876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Asset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71272"/>
        <c:crosses val="autoZero"/>
        <c:auto val="1"/>
        <c:lblAlgn val="ctr"/>
        <c:lblOffset val="100"/>
        <c:noMultiLvlLbl val="0"/>
      </c:catAx>
      <c:valAx>
        <c:axId val="47171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8766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Gaveta Allocations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'🗂 Gavetas'!C20</c:f>
              <c:strCache>
                <c:ptCount val="1"/>
                <c:pt idx="0">
                  <c:v>USD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'🗂 Gavetas'!$B$21:$B$24</c:f>
              <c:strCache>
                <c:ptCount val="4"/>
                <c:pt idx="0">
                  <c:v>Preservation &amp; Optionality</c:v>
                </c:pt>
                <c:pt idx="1">
                  <c:v>Convex Growth: Equities (VISA)</c:v>
                </c:pt>
                <c:pt idx="2">
                  <c:v>Convex Growth: Crypto (CFM)</c:v>
                </c:pt>
                <c:pt idx="3">
                  <c:v>Tactical Brazil</c:v>
                </c:pt>
              </c:strCache>
            </c:strRef>
          </c:cat>
          <c:val>
            <c:numRef>
              <c:f>'🗂 Gavetas'!$C$21:$C$24</c:f>
              <c:numCache>
                <c:formatCode>General</c:formatCode>
                <c:ptCount val="4"/>
                <c:pt idx="0">
                  <c:v>276000</c:v>
                </c:pt>
                <c:pt idx="1">
                  <c:v>138000</c:v>
                </c:pt>
                <c:pt idx="2">
                  <c:v>46000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79027132"/>
        <c:axId val="87616547"/>
      </c:barChart>
      <c:catAx>
        <c:axId val="79027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616547"/>
        <c:crosses val="autoZero"/>
        <c:auto val="1"/>
        <c:lblAlgn val="ctr"/>
        <c:lblOffset val="100"/>
        <c:noMultiLvlLbl val="0"/>
      </c:catAx>
      <c:valAx>
        <c:axId val="87616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0271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Equities Allocation by Ticker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Equities VISA'!L4</c:f>
              <c:strCache>
                <c:ptCount val="1"/>
                <c:pt idx="0">
                  <c:v>Alloc USD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Equities VISA'!$K$5:$K$19</c:f>
              <c:strCache>
                <c:ptCount val="15"/>
                <c:pt idx="0">
                  <c:v>TFLO</c:v>
                </c:pt>
                <c:pt idx="1">
                  <c:v>EWZ</c:v>
                </c:pt>
                <c:pt idx="2">
                  <c:v>SPY</c:v>
                </c:pt>
                <c:pt idx="3">
                  <c:v>GDX</c:v>
                </c:pt>
                <c:pt idx="4">
                  <c:v>XLU</c:v>
                </c:pt>
                <c:pt idx="5">
                  <c:v>VXX</c:v>
                </c:pt>
                <c:pt idx="6">
                  <c:v>FXI</c:v>
                </c:pt>
                <c:pt idx="7">
                  <c:v>EWH</c:v>
                </c:pt>
                <c:pt idx="8">
                  <c:v>BABA</c:v>
                </c:pt>
                <c:pt idx="9">
                  <c:v>BIDU</c:v>
                </c:pt>
                <c:pt idx="10">
                  <c:v>MSTR</c:v>
                </c:pt>
                <c:pt idx="11">
                  <c:v>RIOT</c:v>
                </c:pt>
                <c:pt idx="12">
                  <c:v>CLSK</c:v>
                </c:pt>
                <c:pt idx="13">
                  <c:v>COIN</c:v>
                </c:pt>
                <c:pt idx="14">
                  <c:v>TSLA</c:v>
                </c:pt>
              </c:strCache>
            </c:strRef>
          </c:cat>
          <c:val>
            <c:numRef>
              <c:f>'📈 Equities VISA'!$L$5:$L$19</c:f>
              <c:numCache>
                <c:formatCode>General</c:formatCode>
                <c:ptCount val="15"/>
                <c:pt idx="0">
                  <c:v>69000</c:v>
                </c:pt>
                <c:pt idx="1">
                  <c:v>7590</c:v>
                </c:pt>
                <c:pt idx="2">
                  <c:v>6210</c:v>
                </c:pt>
                <c:pt idx="3">
                  <c:v>6210</c:v>
                </c:pt>
                <c:pt idx="4">
                  <c:v>3105</c:v>
                </c:pt>
                <c:pt idx="5">
                  <c:v>3105</c:v>
                </c:pt>
                <c:pt idx="6">
                  <c:v>6900</c:v>
                </c:pt>
                <c:pt idx="7">
                  <c:v>6900</c:v>
                </c:pt>
                <c:pt idx="8">
                  <c:v>6900</c:v>
                </c:pt>
                <c:pt idx="9">
                  <c:v>6900</c:v>
                </c:pt>
                <c:pt idx="10">
                  <c:v>2760</c:v>
                </c:pt>
                <c:pt idx="11">
                  <c:v>2760</c:v>
                </c:pt>
                <c:pt idx="12">
                  <c:v>2760</c:v>
                </c:pt>
                <c:pt idx="13">
                  <c:v>2760</c:v>
                </c:pt>
                <c:pt idx="14">
                  <c:v>4140</c:v>
                </c:pt>
              </c:numCache>
            </c:numRef>
          </c:val>
        </c:ser>
        <c:gapWidth val="150"/>
        <c:overlap val="0"/>
        <c:axId val="50754492"/>
        <c:axId val="8877314"/>
      </c:barChart>
      <c:catAx>
        <c:axId val="507544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77314"/>
        <c:crosses val="autoZero"/>
        <c:auto val="1"/>
        <c:lblAlgn val="ctr"/>
        <c:lblOffset val="100"/>
        <c:noMultiLvlLbl val="0"/>
      </c:catAx>
      <c:valAx>
        <c:axId val="8877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7544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Crypto Allocation by Coin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'₿ Crypto CFM'!K4</c:f>
              <c:strCache>
                <c:ptCount val="1"/>
                <c:pt idx="0">
                  <c:v>Alloc USD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9731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8b5cf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ca3a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4a90d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'₿ Crypto CFM'!$J$5:$J$8</c:f>
              <c:strCache>
                <c:ptCount val="4"/>
                <c:pt idx="0">
                  <c:v>BTC</c:v>
                </c:pt>
                <c:pt idx="1">
                  <c:v>ETH</c:v>
                </c:pt>
                <c:pt idx="2">
                  <c:v>LTC</c:v>
                </c:pt>
                <c:pt idx="3">
                  <c:v>LINK</c:v>
                </c:pt>
              </c:strCache>
            </c:strRef>
          </c:cat>
          <c:val>
            <c:numRef>
              <c:f>'₿ Crypto CFM'!$K$5:$K$8</c:f>
              <c:numCache>
                <c:formatCode>General</c:formatCode>
                <c:ptCount val="4"/>
                <c:pt idx="0">
                  <c:v>36800</c:v>
                </c:pt>
                <c:pt idx="1">
                  <c:v>5750</c:v>
                </c:pt>
                <c:pt idx="2">
                  <c:v>2576</c:v>
                </c:pt>
                <c:pt idx="3">
                  <c:v>874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Target Weights by Regime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"Liquidity Crisis"</c:f>
              <c:strCache>
                <c:ptCount val="1"/>
                <c:pt idx="0">
                  <c:v>Liquidity Crisis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'⚡ Regime &amp; Risk'!$H$10:$H$14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'⚡ Regime &amp; Risk'!$I$9:$I$14</c:f>
              <c:numCache>
                <c:formatCode>General</c:formatCode>
                <c:ptCount val="6"/>
                <c:pt idx="1">
                  <c:v>0.35</c:v>
                </c:pt>
                <c:pt idx="2">
                  <c:v>0.25</c:v>
                </c:pt>
                <c:pt idx="3">
                  <c:v>0.2</c:v>
                </c:pt>
                <c:pt idx="4">
                  <c:v>0.15</c:v>
                </c:pt>
                <c:pt idx="5">
                  <c:v>0.05</c:v>
                </c:pt>
              </c:numCache>
            </c:numRef>
          </c:val>
        </c:ser>
        <c:ser>
          <c:idx val="1"/>
          <c:order val="1"/>
          <c:tx>
            <c:strRef>
              <c:f>"Defensive Convex"</c:f>
              <c:strCache>
                <c:ptCount val="1"/>
                <c:pt idx="0">
                  <c:v>Defensive Convex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'⚡ Regime &amp; Risk'!$H$10:$H$14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'⚡ Regime &amp; Risk'!$J$9:$J$14</c:f>
              <c:numCache>
                <c:formatCode>General</c:formatCode>
                <c:ptCount val="6"/>
                <c:pt idx="1">
                  <c:v>0.25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0.1</c:v>
                </c:pt>
              </c:numCache>
            </c:numRef>
          </c:val>
        </c:ser>
        <c:ser>
          <c:idx val="2"/>
          <c:order val="2"/>
          <c:tx>
            <c:strRef>
              <c:f>"Expansion"</c:f>
              <c:strCache>
                <c:ptCount val="1"/>
                <c:pt idx="0">
                  <c:v>Expansion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'⚡ Regime &amp; Risk'!$H$10:$H$14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'⚡ Regime &amp; Risk'!$K$9:$K$14</c:f>
              <c:numCache>
                <c:formatCode>General</c:formatCode>
                <c:ptCount val="6"/>
                <c:pt idx="1">
                  <c:v>0.15</c:v>
                </c:pt>
                <c:pt idx="2">
                  <c:v>0.1</c:v>
                </c:pt>
                <c:pt idx="3">
                  <c:v>0.15</c:v>
                </c:pt>
                <c:pt idx="4">
                  <c:v>0.4</c:v>
                </c:pt>
                <c:pt idx="5">
                  <c:v>0.2</c:v>
                </c:pt>
              </c:numCache>
            </c:numRef>
          </c:val>
        </c:ser>
        <c:gapWidth val="150"/>
        <c:overlap val="0"/>
        <c:axId val="71454531"/>
        <c:axId val="48748126"/>
      </c:barChart>
      <c:catAx>
        <c:axId val="714545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748126"/>
        <c:crosses val="autoZero"/>
        <c:auto val="1"/>
        <c:lblAlgn val="ctr"/>
        <c:lblOffset val="100"/>
        <c:noMultiLvlLbl val="0"/>
      </c:catAx>
      <c:valAx>
        <c:axId val="48748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Weight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4545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740160</xdr:colOff>
      <xdr:row>37</xdr:row>
      <xdr:rowOff>86760</xdr:rowOff>
    </xdr:to>
    <xdr:graphicFrame>
      <xdr:nvGraphicFramePr>
        <xdr:cNvPr id="0" name="Chart 1"/>
        <xdr:cNvGraphicFramePr/>
      </xdr:nvGraphicFramePr>
      <xdr:xfrm>
        <a:off x="611640" y="2286000"/>
        <a:ext cx="50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17</xdr:col>
      <xdr:colOff>147600</xdr:colOff>
      <xdr:row>33</xdr:row>
      <xdr:rowOff>128520</xdr:rowOff>
    </xdr:to>
    <xdr:graphicFrame>
      <xdr:nvGraphicFramePr>
        <xdr:cNvPr id="1" name="Chart 2"/>
        <xdr:cNvGraphicFramePr/>
      </xdr:nvGraphicFramePr>
      <xdr:xfrm>
        <a:off x="9844920" y="22860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4</xdr:col>
      <xdr:colOff>1827720</xdr:colOff>
      <xdr:row>45</xdr:row>
      <xdr:rowOff>86760</xdr:rowOff>
    </xdr:to>
    <xdr:graphicFrame>
      <xdr:nvGraphicFramePr>
        <xdr:cNvPr id="2" name="Chart 1"/>
        <xdr:cNvGraphicFramePr/>
      </xdr:nvGraphicFramePr>
      <xdr:xfrm>
        <a:off x="611640" y="369576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0</xdr:rowOff>
    </xdr:from>
    <xdr:to>
      <xdr:col>6</xdr:col>
      <xdr:colOff>2492280</xdr:colOff>
      <xdr:row>53</xdr:row>
      <xdr:rowOff>86760</xdr:rowOff>
    </xdr:to>
    <xdr:graphicFrame>
      <xdr:nvGraphicFramePr>
        <xdr:cNvPr id="3" name="Chart 1"/>
        <xdr:cNvGraphicFramePr/>
      </xdr:nvGraphicFramePr>
      <xdr:xfrm>
        <a:off x="611640" y="4657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16</xdr:row>
      <xdr:rowOff>0</xdr:rowOff>
    </xdr:from>
    <xdr:to>
      <xdr:col>5</xdr:col>
      <xdr:colOff>873720</xdr:colOff>
      <xdr:row>38</xdr:row>
      <xdr:rowOff>128520</xdr:rowOff>
    </xdr:to>
    <xdr:graphicFrame>
      <xdr:nvGraphicFramePr>
        <xdr:cNvPr id="4" name="Chart 1"/>
        <xdr:cNvGraphicFramePr/>
      </xdr:nvGraphicFramePr>
      <xdr:xfrm>
        <a:off x="611640" y="305748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16</xdr:row>
      <xdr:rowOff>0</xdr:rowOff>
    </xdr:from>
    <xdr:to>
      <xdr:col>18</xdr:col>
      <xdr:colOff>473040</xdr:colOff>
      <xdr:row>41</xdr:row>
      <xdr:rowOff>10440</xdr:rowOff>
    </xdr:to>
    <xdr:graphicFrame>
      <xdr:nvGraphicFramePr>
        <xdr:cNvPr id="5" name="Chart 1"/>
        <xdr:cNvGraphicFramePr/>
      </xdr:nvGraphicFramePr>
      <xdr:xfrm>
        <a:off x="9164880" y="30956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K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10" min="9" style="0" width="14"/>
    <col collapsed="false" customWidth="true" hidden="false" outlineLevel="0" max="11" min="11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1"/>
    </row>
    <row r="4" customFormat="false" ht="21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4"/>
      <c r="J4" s="4"/>
      <c r="K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6" hidden="false" customHeight="true" outlineLevel="0" collapsed="false"/>
    <row r="7" customFormat="false" ht="18" hidden="false" customHeight="true" outlineLevel="0" collapsed="false">
      <c r="B7" s="5" t="s">
        <v>3</v>
      </c>
      <c r="C7" s="5"/>
      <c r="D7" s="5"/>
      <c r="E7" s="5"/>
      <c r="F7" s="5"/>
      <c r="G7" s="5"/>
      <c r="H7" s="5"/>
      <c r="I7" s="5"/>
      <c r="J7" s="5"/>
    </row>
    <row r="8" customFormat="false" ht="21.75" hidden="false" customHeight="true" outlineLevel="0" collapsed="false">
      <c r="A8" s="1"/>
      <c r="B8" s="6" t="s">
        <v>4</v>
      </c>
      <c r="C8" s="6"/>
      <c r="D8" s="6"/>
      <c r="E8" s="6"/>
      <c r="F8" s="6" t="s">
        <v>5</v>
      </c>
      <c r="G8" s="6"/>
      <c r="H8" s="6"/>
      <c r="I8" s="6"/>
      <c r="J8" s="1"/>
      <c r="K8" s="1"/>
    </row>
    <row r="9" customFormat="false" ht="21.75" hidden="false" customHeight="true" outlineLevel="0" collapsed="false">
      <c r="A9" s="1"/>
      <c r="B9" s="7" t="s">
        <v>6</v>
      </c>
      <c r="C9" s="7"/>
      <c r="D9" s="7"/>
      <c r="E9" s="7"/>
      <c r="F9" s="8" t="s">
        <v>7</v>
      </c>
      <c r="G9" s="8"/>
      <c r="H9" s="8"/>
      <c r="I9" s="8"/>
      <c r="J9" s="1"/>
      <c r="K9" s="1"/>
    </row>
    <row r="10" customFormat="false" ht="21.75" hidden="false" customHeight="true" outlineLevel="0" collapsed="false">
      <c r="A10" s="1"/>
      <c r="B10" s="9" t="s">
        <v>8</v>
      </c>
      <c r="C10" s="9"/>
      <c r="D10" s="9"/>
      <c r="E10" s="9"/>
      <c r="F10" s="9" t="s">
        <v>9</v>
      </c>
      <c r="G10" s="9"/>
      <c r="H10" s="9"/>
      <c r="I10" s="9"/>
      <c r="J10" s="1"/>
      <c r="K10" s="1"/>
    </row>
    <row r="11" customFormat="false" ht="21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6" hidden="false" customHeight="true" outlineLevel="0" collapsed="false"/>
    <row r="13" customFormat="false" ht="21.75" hidden="false" customHeight="true" outlineLevel="0" collapsed="false">
      <c r="A13" s="1"/>
      <c r="B13" s="6" t="s">
        <v>10</v>
      </c>
      <c r="C13" s="6"/>
      <c r="D13" s="6"/>
      <c r="E13" s="6"/>
      <c r="F13" s="6" t="s">
        <v>11</v>
      </c>
      <c r="G13" s="6"/>
      <c r="H13" s="6"/>
      <c r="I13" s="6"/>
      <c r="J13" s="1"/>
      <c r="K13" s="1"/>
    </row>
    <row r="14" customFormat="false" ht="21.75" hidden="false" customHeight="true" outlineLevel="0" collapsed="false">
      <c r="A14" s="1"/>
      <c r="B14" s="10" t="s">
        <v>12</v>
      </c>
      <c r="C14" s="10"/>
      <c r="D14" s="10"/>
      <c r="E14" s="10"/>
      <c r="F14" s="10" t="s">
        <v>13</v>
      </c>
      <c r="G14" s="10"/>
      <c r="H14" s="10"/>
      <c r="I14" s="10"/>
      <c r="J14" s="1"/>
      <c r="K14" s="1"/>
    </row>
    <row r="15" customFormat="false" ht="21.75" hidden="false" customHeight="true" outlineLevel="0" collapsed="false">
      <c r="A15" s="1"/>
      <c r="B15" s="9" t="s">
        <v>14</v>
      </c>
      <c r="C15" s="9"/>
      <c r="D15" s="9"/>
      <c r="E15" s="9"/>
      <c r="F15" s="9" t="s">
        <v>15</v>
      </c>
      <c r="G15" s="9"/>
      <c r="H15" s="9"/>
      <c r="I15" s="9"/>
      <c r="J15" s="1"/>
      <c r="K15" s="1"/>
    </row>
    <row r="16" customFormat="false" ht="6" hidden="false" customHeight="true" outlineLevel="0" collapsed="false"/>
    <row r="17" customFormat="false" ht="18" hidden="false" customHeight="true" outlineLevel="0" collapsed="false">
      <c r="B17" s="5" t="s">
        <v>16</v>
      </c>
      <c r="C17" s="5"/>
      <c r="D17" s="5"/>
      <c r="E17" s="5"/>
      <c r="F17" s="5"/>
      <c r="G17" s="5"/>
      <c r="H17" s="5"/>
      <c r="I17" s="5"/>
      <c r="J17" s="5"/>
    </row>
    <row r="18" customFormat="false" ht="15.75" hidden="false" customHeight="true" outlineLevel="0" collapsed="false">
      <c r="B18" s="11" t="s">
        <v>17</v>
      </c>
      <c r="C18" s="11" t="s">
        <v>18</v>
      </c>
      <c r="D18" s="11" t="s">
        <v>19</v>
      </c>
      <c r="F18" s="11" t="s">
        <v>20</v>
      </c>
      <c r="H18" s="11" t="s">
        <v>21</v>
      </c>
    </row>
    <row r="19" customFormat="false" ht="15.75" hidden="false" customHeight="true" outlineLevel="0" collapsed="false">
      <c r="B19" s="12" t="s">
        <v>22</v>
      </c>
      <c r="C19" s="13" t="n">
        <v>1178000</v>
      </c>
      <c r="D19" s="12" t="s">
        <v>23</v>
      </c>
      <c r="E19" s="14"/>
      <c r="F19" s="12" t="s">
        <v>24</v>
      </c>
      <c r="G19" s="14"/>
      <c r="H19" s="12" t="s">
        <v>25</v>
      </c>
      <c r="I19" s="14"/>
      <c r="J19" s="14"/>
    </row>
    <row r="20" customFormat="false" ht="15.75" hidden="false" customHeight="true" outlineLevel="0" collapsed="false">
      <c r="B20" s="15" t="s">
        <v>26</v>
      </c>
      <c r="C20" s="16" t="n">
        <v>460000</v>
      </c>
      <c r="D20" s="15" t="s">
        <v>27</v>
      </c>
      <c r="E20" s="17"/>
      <c r="F20" s="15" t="s">
        <v>28</v>
      </c>
      <c r="G20" s="17"/>
      <c r="H20" s="15" t="s">
        <v>29</v>
      </c>
      <c r="I20" s="17"/>
      <c r="J20" s="17"/>
    </row>
    <row r="21" customFormat="false" ht="15.75" hidden="false" customHeight="true" outlineLevel="0" collapsed="false">
      <c r="B21" s="12" t="s">
        <v>30</v>
      </c>
      <c r="C21" s="13" t="n">
        <v>8000</v>
      </c>
      <c r="D21" s="12" t="s">
        <v>27</v>
      </c>
      <c r="E21" s="14"/>
      <c r="F21" s="12" t="s">
        <v>31</v>
      </c>
      <c r="G21" s="14"/>
      <c r="H21" s="12" t="s">
        <v>32</v>
      </c>
      <c r="I21" s="14"/>
      <c r="J21" s="14"/>
    </row>
    <row r="22" customFormat="false" ht="15.75" hidden="false" customHeight="true" outlineLevel="0" collapsed="false">
      <c r="B22" s="18" t="s">
        <v>33</v>
      </c>
      <c r="C22" s="19" t="n">
        <f aca="false">SUM(C19:C21)</f>
        <v>1646000</v>
      </c>
      <c r="D22" s="20"/>
      <c r="E22" s="20"/>
      <c r="F22" s="20"/>
      <c r="G22" s="20"/>
      <c r="H22" s="20"/>
      <c r="I22" s="20"/>
      <c r="J22" s="20"/>
    </row>
    <row r="23" customFormat="false" ht="6" hidden="false" customHeight="true" outlineLevel="0" collapsed="false"/>
    <row r="24" customFormat="false" ht="18" hidden="false" customHeight="true" outlineLevel="0" collapsed="false">
      <c r="B24" s="5" t="s">
        <v>34</v>
      </c>
      <c r="C24" s="5"/>
      <c r="D24" s="5"/>
      <c r="E24" s="5"/>
      <c r="F24" s="5"/>
      <c r="G24" s="5"/>
      <c r="H24" s="5"/>
      <c r="I24" s="5"/>
      <c r="J24" s="5"/>
    </row>
    <row r="25" customFormat="false" ht="15.75" hidden="false" customHeight="true" outlineLevel="0" collapsed="false">
      <c r="B25" s="11" t="s">
        <v>35</v>
      </c>
      <c r="C25" s="11" t="s">
        <v>36</v>
      </c>
      <c r="D25" s="11" t="s">
        <v>37</v>
      </c>
      <c r="E25" s="11" t="s">
        <v>38</v>
      </c>
      <c r="F25" s="11" t="s">
        <v>39</v>
      </c>
      <c r="G25" s="11" t="s">
        <v>20</v>
      </c>
    </row>
    <row r="26" customFormat="false" ht="15.75" hidden="false" customHeight="true" outlineLevel="0" collapsed="false">
      <c r="B26" s="21" t="s">
        <v>40</v>
      </c>
      <c r="C26" s="22" t="n">
        <v>0.25</v>
      </c>
      <c r="D26" s="13" t="n">
        <v>115000</v>
      </c>
      <c r="E26" s="22" t="n">
        <v>0.15</v>
      </c>
      <c r="F26" s="22" t="n">
        <v>0.35</v>
      </c>
      <c r="G26" s="12" t="s">
        <v>41</v>
      </c>
    </row>
    <row r="27" customFormat="false" ht="15.75" hidden="false" customHeight="true" outlineLevel="0" collapsed="false">
      <c r="B27" s="23" t="s">
        <v>42</v>
      </c>
      <c r="C27" s="24" t="n">
        <v>0.15</v>
      </c>
      <c r="D27" s="16" t="n">
        <v>69000</v>
      </c>
      <c r="E27" s="24" t="n">
        <v>0.1</v>
      </c>
      <c r="F27" s="24" t="n">
        <v>0.25</v>
      </c>
      <c r="G27" s="15" t="s">
        <v>43</v>
      </c>
    </row>
    <row r="28" customFormat="false" ht="15.75" hidden="false" customHeight="true" outlineLevel="0" collapsed="false">
      <c r="B28" s="25" t="s">
        <v>44</v>
      </c>
      <c r="C28" s="22" t="n">
        <v>0.2</v>
      </c>
      <c r="D28" s="13" t="n">
        <v>92000</v>
      </c>
      <c r="E28" s="22" t="n">
        <v>0.15</v>
      </c>
      <c r="F28" s="22" t="n">
        <v>0.35</v>
      </c>
      <c r="G28" s="12" t="s">
        <v>45</v>
      </c>
    </row>
    <row r="29" customFormat="false" ht="15.75" hidden="false" customHeight="true" outlineLevel="0" collapsed="false">
      <c r="B29" s="26" t="s">
        <v>46</v>
      </c>
      <c r="C29" s="24" t="n">
        <v>0.3</v>
      </c>
      <c r="D29" s="16" t="n">
        <v>138000</v>
      </c>
      <c r="E29" s="24" t="n">
        <v>0.15</v>
      </c>
      <c r="F29" s="24" t="n">
        <v>0.4</v>
      </c>
      <c r="G29" s="15" t="s">
        <v>47</v>
      </c>
    </row>
    <row r="30" customFormat="false" ht="15.75" hidden="false" customHeight="true" outlineLevel="0" collapsed="false">
      <c r="B30" s="27" t="s">
        <v>48</v>
      </c>
      <c r="C30" s="22" t="n">
        <v>0.1</v>
      </c>
      <c r="D30" s="13" t="n">
        <v>46000</v>
      </c>
      <c r="E30" s="22" t="n">
        <v>0.05</v>
      </c>
      <c r="F30" s="22" t="n">
        <v>0.2</v>
      </c>
      <c r="G30" s="12" t="s">
        <v>49</v>
      </c>
    </row>
    <row r="31" customFormat="false" ht="15.75" hidden="false" customHeight="true" outlineLevel="0" collapsed="false">
      <c r="B31" s="18" t="s">
        <v>33</v>
      </c>
      <c r="C31" s="28" t="n">
        <f aca="false">SUM(C26:C30)</f>
        <v>1</v>
      </c>
      <c r="D31" s="19" t="n">
        <f aca="false">SUM(D26:D30)</f>
        <v>460000</v>
      </c>
      <c r="E31" s="20"/>
      <c r="F31" s="20"/>
      <c r="G31" s="20"/>
    </row>
  </sheetData>
  <mergeCells count="18">
    <mergeCell ref="B2:J2"/>
    <mergeCell ref="B3:J3"/>
    <mergeCell ref="B4:J4"/>
    <mergeCell ref="B7:J7"/>
    <mergeCell ref="B8:E8"/>
    <mergeCell ref="F8:I8"/>
    <mergeCell ref="B9:E9"/>
    <mergeCell ref="F9:I9"/>
    <mergeCell ref="B10:E10"/>
    <mergeCell ref="F10:I10"/>
    <mergeCell ref="B13:E13"/>
    <mergeCell ref="F13:I13"/>
    <mergeCell ref="B14:E14"/>
    <mergeCell ref="F14:I14"/>
    <mergeCell ref="B15:E15"/>
    <mergeCell ref="F15:I15"/>
    <mergeCell ref="B17:J17"/>
    <mergeCell ref="B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S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3"/>
    <col collapsed="false" customWidth="true" hidden="false" outlineLevel="0" max="8" min="8" style="0" width="12"/>
    <col collapsed="false" customWidth="true" hidden="false" outlineLevel="0" max="9" min="9" style="0" width="3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5.5" hidden="false" customHeight="true" outlineLevel="0" collapsed="false">
      <c r="A2" s="1"/>
      <c r="B2" s="29" t="s">
        <v>50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1"/>
    </row>
    <row r="3" customFormat="false" ht="6" hidden="false" customHeight="true" outlineLevel="0" collapsed="false"/>
    <row r="4" customFormat="false" ht="18" hidden="false" customHeight="true" outlineLevel="0" collapsed="false">
      <c r="B4" s="30" t="s">
        <v>35</v>
      </c>
      <c r="C4" s="30" t="s">
        <v>51</v>
      </c>
      <c r="D4" s="30" t="s">
        <v>37</v>
      </c>
      <c r="E4" s="30" t="s">
        <v>52</v>
      </c>
      <c r="F4" s="30" t="s">
        <v>53</v>
      </c>
      <c r="G4" s="30" t="s">
        <v>54</v>
      </c>
      <c r="H4" s="30" t="s">
        <v>55</v>
      </c>
      <c r="I4" s="30" t="s">
        <v>20</v>
      </c>
    </row>
    <row r="5" customFormat="false" ht="18" hidden="false" customHeight="true" outlineLevel="0" collapsed="false">
      <c r="B5" s="31" t="s">
        <v>40</v>
      </c>
      <c r="C5" s="32" t="n">
        <v>0.25</v>
      </c>
      <c r="D5" s="33" t="n">
        <v>115000</v>
      </c>
      <c r="E5" s="32" t="n">
        <v>0.15</v>
      </c>
      <c r="F5" s="32" t="n">
        <v>0.35</v>
      </c>
      <c r="G5" s="34" t="s">
        <v>56</v>
      </c>
      <c r="H5" s="34" t="s">
        <v>57</v>
      </c>
      <c r="I5" s="34" t="s">
        <v>41</v>
      </c>
    </row>
    <row r="6" customFormat="false" ht="18" hidden="false" customHeight="true" outlineLevel="0" collapsed="false">
      <c r="B6" s="35" t="s">
        <v>42</v>
      </c>
      <c r="C6" s="36" t="n">
        <v>0.15</v>
      </c>
      <c r="D6" s="37" t="n">
        <v>69000</v>
      </c>
      <c r="E6" s="36" t="n">
        <v>0.1</v>
      </c>
      <c r="F6" s="36" t="n">
        <v>0.25</v>
      </c>
      <c r="G6" s="38" t="s">
        <v>58</v>
      </c>
      <c r="H6" s="38" t="s">
        <v>59</v>
      </c>
      <c r="I6" s="38" t="s">
        <v>43</v>
      </c>
    </row>
    <row r="7" customFormat="false" ht="18" hidden="false" customHeight="true" outlineLevel="0" collapsed="false">
      <c r="B7" s="39" t="s">
        <v>44</v>
      </c>
      <c r="C7" s="32" t="n">
        <v>0.2</v>
      </c>
      <c r="D7" s="33" t="n">
        <v>92000</v>
      </c>
      <c r="E7" s="32" t="n">
        <v>0.15</v>
      </c>
      <c r="F7" s="32" t="n">
        <v>0.35</v>
      </c>
      <c r="G7" s="34" t="s">
        <v>60</v>
      </c>
      <c r="H7" s="34" t="s">
        <v>59</v>
      </c>
      <c r="I7" s="34" t="s">
        <v>45</v>
      </c>
    </row>
    <row r="8" customFormat="false" ht="18" hidden="false" customHeight="true" outlineLevel="0" collapsed="false">
      <c r="B8" s="40" t="s">
        <v>46</v>
      </c>
      <c r="C8" s="36" t="n">
        <v>0.3</v>
      </c>
      <c r="D8" s="37" t="n">
        <v>138000</v>
      </c>
      <c r="E8" s="36" t="n">
        <v>0.15</v>
      </c>
      <c r="F8" s="36" t="n">
        <v>0.4</v>
      </c>
      <c r="G8" s="38" t="s">
        <v>61</v>
      </c>
      <c r="H8" s="38" t="s">
        <v>59</v>
      </c>
      <c r="I8" s="38" t="s">
        <v>47</v>
      </c>
    </row>
    <row r="9" customFormat="false" ht="18" hidden="false" customHeight="true" outlineLevel="0" collapsed="false">
      <c r="B9" s="41" t="s">
        <v>48</v>
      </c>
      <c r="C9" s="32" t="n">
        <v>0.1</v>
      </c>
      <c r="D9" s="33" t="n">
        <v>46000</v>
      </c>
      <c r="E9" s="32" t="n">
        <v>0.05</v>
      </c>
      <c r="F9" s="32" t="n">
        <v>0.2</v>
      </c>
      <c r="G9" s="34" t="s">
        <v>59</v>
      </c>
      <c r="H9" s="34" t="s">
        <v>59</v>
      </c>
      <c r="I9" s="34" t="s">
        <v>49</v>
      </c>
    </row>
    <row r="10" customFormat="false" ht="18" hidden="false" customHeight="true" outlineLevel="0" collapsed="false">
      <c r="B10" s="42" t="s">
        <v>33</v>
      </c>
      <c r="C10" s="43" t="n">
        <f aca="false">SUM(C5:C9)</f>
        <v>1</v>
      </c>
      <c r="D10" s="44" t="n">
        <f aca="false">SUM(D5:D9)</f>
        <v>460000</v>
      </c>
    </row>
    <row r="12" customFormat="false" ht="15" hidden="false" customHeight="false" outlineLevel="0" collapsed="false">
      <c r="N12" s="45" t="s">
        <v>35</v>
      </c>
      <c r="O12" s="45" t="s">
        <v>62</v>
      </c>
    </row>
    <row r="13" customFormat="false" ht="15" hidden="false" customHeight="false" outlineLevel="0" collapsed="false">
      <c r="N13" s="0" t="s">
        <v>40</v>
      </c>
      <c r="O13" s="0" t="n">
        <v>0.25</v>
      </c>
    </row>
    <row r="14" customFormat="false" ht="15" hidden="false" customHeight="false" outlineLevel="0" collapsed="false">
      <c r="N14" s="0" t="s">
        <v>42</v>
      </c>
      <c r="O14" s="0" t="n">
        <v>0.15</v>
      </c>
    </row>
    <row r="15" customFormat="false" ht="15" hidden="false" customHeight="false" outlineLevel="0" collapsed="false">
      <c r="N15" s="0" t="s">
        <v>44</v>
      </c>
      <c r="O15" s="0" t="n">
        <v>0.2</v>
      </c>
    </row>
    <row r="16" customFormat="false" ht="15" hidden="false" customHeight="false" outlineLevel="0" collapsed="false">
      <c r="N16" s="0" t="s">
        <v>46</v>
      </c>
      <c r="O16" s="0" t="n">
        <v>0.3</v>
      </c>
    </row>
    <row r="17" customFormat="false" ht="15" hidden="false" customHeight="false" outlineLevel="0" collapsed="false">
      <c r="N17" s="0" t="s">
        <v>48</v>
      </c>
      <c r="O17" s="0" t="n">
        <v>0.1</v>
      </c>
    </row>
  </sheetData>
  <mergeCells count="1">
    <mergeCell ref="B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S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56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5.5" hidden="false" customHeight="true" outlineLevel="0" collapsed="false">
      <c r="A2" s="1"/>
      <c r="B2" s="29" t="s">
        <v>63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  <c r="O2" s="1"/>
      <c r="P2" s="1"/>
      <c r="Q2" s="1"/>
      <c r="R2" s="1"/>
      <c r="S2" s="1"/>
    </row>
    <row r="3" customFormat="false" ht="6" hidden="false" customHeight="true" outlineLevel="0" collapsed="false"/>
    <row r="4" customFormat="false" ht="18" hidden="false" customHeight="true" outlineLevel="0" collapsed="false">
      <c r="B4" s="30" t="s">
        <v>19</v>
      </c>
      <c r="C4" s="30" t="s">
        <v>64</v>
      </c>
      <c r="D4" s="30" t="s">
        <v>62</v>
      </c>
      <c r="E4" s="30" t="s">
        <v>65</v>
      </c>
    </row>
    <row r="5" customFormat="false" ht="19.5" hidden="false" customHeight="true" outlineLevel="0" collapsed="false">
      <c r="B5" s="31" t="s">
        <v>66</v>
      </c>
      <c r="C5" s="33" t="n">
        <v>276000</v>
      </c>
      <c r="D5" s="46" t="n">
        <v>0.6</v>
      </c>
      <c r="E5" s="47" t="s">
        <v>67</v>
      </c>
    </row>
    <row r="6" customFormat="false" ht="19.5" hidden="false" customHeight="true" outlineLevel="0" collapsed="false">
      <c r="B6" s="40" t="s">
        <v>68</v>
      </c>
      <c r="C6" s="37" t="n">
        <v>138000</v>
      </c>
      <c r="D6" s="48" t="n">
        <v>0.3</v>
      </c>
      <c r="E6" s="49" t="s">
        <v>69</v>
      </c>
    </row>
    <row r="7" customFormat="false" ht="19.5" hidden="false" customHeight="true" outlineLevel="0" collapsed="false">
      <c r="B7" s="41" t="s">
        <v>70</v>
      </c>
      <c r="C7" s="33" t="n">
        <v>46000</v>
      </c>
      <c r="D7" s="46" t="n">
        <v>0.1</v>
      </c>
      <c r="E7" s="47" t="s">
        <v>71</v>
      </c>
    </row>
    <row r="8" customFormat="false" ht="19.5" hidden="false" customHeight="true" outlineLevel="0" collapsed="false">
      <c r="B8" s="35" t="s">
        <v>23</v>
      </c>
      <c r="C8" s="37" t="n">
        <v>0</v>
      </c>
      <c r="D8" s="48" t="n">
        <v>0</v>
      </c>
      <c r="E8" s="49" t="s">
        <v>72</v>
      </c>
    </row>
    <row r="9" customFormat="false" ht="18" hidden="false" customHeight="true" outlineLevel="0" collapsed="false">
      <c r="B9" s="42" t="s">
        <v>33</v>
      </c>
      <c r="C9" s="44" t="n">
        <f aca="false">SUM(C5:C8)</f>
        <v>460000</v>
      </c>
      <c r="D9" s="50" t="n">
        <f aca="false">SUM(D5:D8)</f>
        <v>1</v>
      </c>
    </row>
    <row r="11" customFormat="false" ht="6" hidden="false" customHeight="true" outlineLevel="0" collapsed="false"/>
    <row r="12" customFormat="false" ht="18" hidden="false" customHeight="true" outlineLevel="0" collapsed="false">
      <c r="B12" s="51" t="s">
        <v>73</v>
      </c>
      <c r="C12" s="51"/>
      <c r="D12" s="51"/>
      <c r="E12" s="51"/>
    </row>
    <row r="13" customFormat="false" ht="13.5" hidden="false" customHeight="true" outlineLevel="0" collapsed="false">
      <c r="B13" s="52" t="s">
        <v>74</v>
      </c>
      <c r="C13" s="52"/>
      <c r="D13" s="52"/>
      <c r="E13" s="52"/>
    </row>
    <row r="14" customFormat="false" ht="13.5" hidden="false" customHeight="true" outlineLevel="0" collapsed="false">
      <c r="B14" s="52" t="s">
        <v>75</v>
      </c>
      <c r="C14" s="52"/>
      <c r="D14" s="52"/>
      <c r="E14" s="52"/>
    </row>
    <row r="15" customFormat="false" ht="13.5" hidden="false" customHeight="true" outlineLevel="0" collapsed="false">
      <c r="B15" s="52" t="s">
        <v>76</v>
      </c>
      <c r="C15" s="52"/>
      <c r="D15" s="52"/>
      <c r="E15" s="52"/>
    </row>
    <row r="16" customFormat="false" ht="13.5" hidden="false" customHeight="true" outlineLevel="0" collapsed="false">
      <c r="B16" s="52" t="s">
        <v>77</v>
      </c>
      <c r="C16" s="52"/>
      <c r="D16" s="52"/>
      <c r="E16" s="52"/>
    </row>
    <row r="20" customFormat="false" ht="15" hidden="false" customHeight="false" outlineLevel="0" collapsed="false">
      <c r="B20" s="45" t="s">
        <v>19</v>
      </c>
      <c r="C20" s="45" t="s">
        <v>78</v>
      </c>
    </row>
    <row r="21" customFormat="false" ht="15" hidden="false" customHeight="false" outlineLevel="0" collapsed="false">
      <c r="B21" s="0" t="s">
        <v>66</v>
      </c>
      <c r="C21" s="0" t="n">
        <v>276000</v>
      </c>
    </row>
    <row r="22" customFormat="false" ht="15" hidden="false" customHeight="false" outlineLevel="0" collapsed="false">
      <c r="B22" s="0" t="s">
        <v>68</v>
      </c>
      <c r="C22" s="0" t="n">
        <v>138000</v>
      </c>
    </row>
    <row r="23" customFormat="false" ht="15" hidden="false" customHeight="false" outlineLevel="0" collapsed="false">
      <c r="B23" s="0" t="s">
        <v>70</v>
      </c>
      <c r="C23" s="0" t="n">
        <v>46000</v>
      </c>
    </row>
    <row r="24" customFormat="false" ht="15" hidden="false" customHeight="false" outlineLevel="0" collapsed="false">
      <c r="B24" s="0" t="s">
        <v>23</v>
      </c>
      <c r="C24" s="0" t="n">
        <v>0</v>
      </c>
    </row>
  </sheetData>
  <mergeCells count="6">
    <mergeCell ref="B2:M2"/>
    <mergeCell ref="B12:E12"/>
    <mergeCell ref="B13:E13"/>
    <mergeCell ref="B14:E14"/>
    <mergeCell ref="B15:E15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C8A0"/>
    <pageSetUpPr fitToPage="false"/>
  </sheetPr>
  <dimension ref="A1:U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0" min="9" style="0" width="10"/>
    <col collapsed="false" customWidth="true" hidden="false" outlineLevel="0" max="11" min="11" style="0" width="4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5.5" hidden="false" customHeight="true" outlineLevel="0" collapsed="false">
      <c r="A2" s="1"/>
      <c r="B2" s="29" t="s">
        <v>79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1"/>
      <c r="N2" s="1"/>
      <c r="O2" s="1"/>
      <c r="P2" s="1"/>
      <c r="Q2" s="1"/>
      <c r="R2" s="1"/>
      <c r="S2" s="1"/>
      <c r="T2" s="1"/>
      <c r="U2" s="1"/>
    </row>
    <row r="3" customFormat="false" ht="6" hidden="false" customHeight="true" outlineLevel="0" collapsed="false"/>
    <row r="4" customFormat="false" ht="15.75" hidden="false" customHeight="true" outlineLevel="0" collapsed="false">
      <c r="B4" s="11" t="s">
        <v>35</v>
      </c>
      <c r="C4" s="11" t="s">
        <v>80</v>
      </c>
      <c r="D4" s="11" t="s">
        <v>81</v>
      </c>
      <c r="E4" s="11" t="s">
        <v>82</v>
      </c>
      <c r="F4" s="11" t="s">
        <v>83</v>
      </c>
      <c r="G4" s="11" t="s">
        <v>51</v>
      </c>
      <c r="H4" s="11" t="s">
        <v>37</v>
      </c>
      <c r="I4" s="11" t="s">
        <v>84</v>
      </c>
      <c r="J4" s="11" t="s">
        <v>85</v>
      </c>
      <c r="K4" s="11" t="s">
        <v>86</v>
      </c>
    </row>
    <row r="5" customFormat="false" ht="13.5" hidden="false" customHeight="true" outlineLevel="0" collapsed="false">
      <c r="B5" s="53" t="s">
        <v>40</v>
      </c>
      <c r="C5" s="54" t="s">
        <v>87</v>
      </c>
      <c r="D5" s="54" t="s">
        <v>88</v>
      </c>
      <c r="E5" s="54" t="s">
        <v>89</v>
      </c>
      <c r="F5" s="54" t="s">
        <v>90</v>
      </c>
      <c r="G5" s="55" t="n">
        <v>0.1364</v>
      </c>
      <c r="H5" s="56" t="n">
        <v>62727</v>
      </c>
      <c r="I5" s="54" t="s">
        <v>91</v>
      </c>
      <c r="J5" s="54" t="s">
        <v>92</v>
      </c>
      <c r="K5" s="54" t="s">
        <v>93</v>
      </c>
    </row>
    <row r="6" customFormat="false" ht="13.5" hidden="false" customHeight="true" outlineLevel="0" collapsed="false">
      <c r="B6" s="57" t="s">
        <v>40</v>
      </c>
      <c r="C6" s="58" t="s">
        <v>94</v>
      </c>
      <c r="D6" s="58" t="s">
        <v>95</v>
      </c>
      <c r="E6" s="58" t="s">
        <v>96</v>
      </c>
      <c r="F6" s="58" t="s">
        <v>97</v>
      </c>
      <c r="G6" s="59" t="n">
        <v>0.1136</v>
      </c>
      <c r="H6" s="60" t="n">
        <v>52273</v>
      </c>
      <c r="I6" s="58" t="s">
        <v>91</v>
      </c>
      <c r="J6" s="58" t="s">
        <v>92</v>
      </c>
      <c r="K6" s="58" t="s">
        <v>98</v>
      </c>
    </row>
    <row r="7" customFormat="false" ht="13.5" hidden="false" customHeight="true" outlineLevel="0" collapsed="false">
      <c r="B7" s="61" t="s">
        <v>42</v>
      </c>
      <c r="C7" s="54" t="s">
        <v>99</v>
      </c>
      <c r="D7" s="54" t="s">
        <v>100</v>
      </c>
      <c r="E7" s="54" t="s">
        <v>96</v>
      </c>
      <c r="F7" s="54" t="s">
        <v>97</v>
      </c>
      <c r="G7" s="55" t="n">
        <v>0.075</v>
      </c>
      <c r="H7" s="56" t="n">
        <v>34500</v>
      </c>
      <c r="I7" s="54" t="s">
        <v>91</v>
      </c>
      <c r="J7" s="54" t="s">
        <v>92</v>
      </c>
      <c r="K7" s="54" t="s">
        <v>101</v>
      </c>
    </row>
    <row r="8" customFormat="false" ht="13.5" hidden="false" customHeight="true" outlineLevel="0" collapsed="false">
      <c r="B8" s="62" t="s">
        <v>42</v>
      </c>
      <c r="C8" s="58" t="s">
        <v>102</v>
      </c>
      <c r="D8" s="58" t="s">
        <v>103</v>
      </c>
      <c r="E8" s="58" t="s">
        <v>96</v>
      </c>
      <c r="F8" s="58" t="s">
        <v>97</v>
      </c>
      <c r="G8" s="59" t="n">
        <v>0.075</v>
      </c>
      <c r="H8" s="60" t="n">
        <v>34500</v>
      </c>
      <c r="I8" s="58" t="s">
        <v>91</v>
      </c>
      <c r="J8" s="58" t="s">
        <v>92</v>
      </c>
      <c r="K8" s="58" t="s">
        <v>104</v>
      </c>
    </row>
    <row r="9" customFormat="false" ht="13.5" hidden="false" customHeight="true" outlineLevel="0" collapsed="false">
      <c r="B9" s="63" t="s">
        <v>44</v>
      </c>
      <c r="C9" s="54" t="s">
        <v>105</v>
      </c>
      <c r="D9" s="54" t="s">
        <v>106</v>
      </c>
      <c r="E9" s="54" t="s">
        <v>96</v>
      </c>
      <c r="F9" s="54" t="s">
        <v>97</v>
      </c>
      <c r="G9" s="55" t="n">
        <v>0.1364</v>
      </c>
      <c r="H9" s="56" t="n">
        <v>62727</v>
      </c>
      <c r="I9" s="54" t="s">
        <v>91</v>
      </c>
      <c r="J9" s="54" t="s">
        <v>92</v>
      </c>
      <c r="K9" s="54" t="s">
        <v>107</v>
      </c>
    </row>
    <row r="10" customFormat="false" ht="13.5" hidden="false" customHeight="true" outlineLevel="0" collapsed="false">
      <c r="B10" s="64" t="s">
        <v>44</v>
      </c>
      <c r="C10" s="58" t="s">
        <v>108</v>
      </c>
      <c r="D10" s="58" t="s">
        <v>109</v>
      </c>
      <c r="E10" s="58" t="s">
        <v>96</v>
      </c>
      <c r="F10" s="58" t="s">
        <v>97</v>
      </c>
      <c r="G10" s="59" t="n">
        <v>0.0636</v>
      </c>
      <c r="H10" s="60" t="n">
        <v>29273</v>
      </c>
      <c r="I10" s="58" t="s">
        <v>91</v>
      </c>
      <c r="J10" s="58" t="s">
        <v>92</v>
      </c>
      <c r="K10" s="58" t="s">
        <v>110</v>
      </c>
    </row>
    <row r="11" customFormat="false" ht="13.5" hidden="false" customHeight="true" outlineLevel="0" collapsed="false">
      <c r="B11" s="65" t="s">
        <v>46</v>
      </c>
      <c r="C11" s="54" t="s">
        <v>94</v>
      </c>
      <c r="D11" s="54" t="s">
        <v>95</v>
      </c>
      <c r="E11" s="54" t="s">
        <v>96</v>
      </c>
      <c r="F11" s="54" t="s">
        <v>97</v>
      </c>
      <c r="G11" s="55" t="n">
        <v>0.15</v>
      </c>
      <c r="H11" s="56" t="n">
        <v>69000</v>
      </c>
      <c r="I11" s="54" t="s">
        <v>91</v>
      </c>
      <c r="J11" s="54" t="s">
        <v>92</v>
      </c>
      <c r="K11" s="54" t="s">
        <v>111</v>
      </c>
    </row>
    <row r="12" customFormat="false" ht="13.5" hidden="false" customHeight="true" outlineLevel="0" collapsed="false">
      <c r="B12" s="66" t="s">
        <v>46</v>
      </c>
      <c r="C12" s="58" t="s">
        <v>112</v>
      </c>
      <c r="D12" s="58" t="s">
        <v>113</v>
      </c>
      <c r="E12" s="58" t="s">
        <v>96</v>
      </c>
      <c r="F12" s="58" t="s">
        <v>97</v>
      </c>
      <c r="G12" s="59" t="n">
        <v>0.0165</v>
      </c>
      <c r="H12" s="60" t="n">
        <v>7590</v>
      </c>
      <c r="I12" s="58" t="s">
        <v>91</v>
      </c>
      <c r="J12" s="58" t="s">
        <v>92</v>
      </c>
      <c r="K12" s="58" t="s">
        <v>114</v>
      </c>
    </row>
    <row r="13" customFormat="false" ht="13.5" hidden="false" customHeight="true" outlineLevel="0" collapsed="false">
      <c r="B13" s="65" t="s">
        <v>46</v>
      </c>
      <c r="C13" s="54" t="s">
        <v>115</v>
      </c>
      <c r="D13" s="54" t="s">
        <v>116</v>
      </c>
      <c r="E13" s="54" t="s">
        <v>96</v>
      </c>
      <c r="F13" s="54" t="s">
        <v>97</v>
      </c>
      <c r="G13" s="55" t="n">
        <v>0.0135</v>
      </c>
      <c r="H13" s="56" t="n">
        <v>6210</v>
      </c>
      <c r="I13" s="54" t="s">
        <v>91</v>
      </c>
      <c r="J13" s="54" t="s">
        <v>92</v>
      </c>
      <c r="K13" s="54" t="s">
        <v>117</v>
      </c>
    </row>
    <row r="14" customFormat="false" ht="13.5" hidden="false" customHeight="true" outlineLevel="0" collapsed="false">
      <c r="B14" s="66" t="s">
        <v>46</v>
      </c>
      <c r="C14" s="58" t="s">
        <v>108</v>
      </c>
      <c r="D14" s="58" t="s">
        <v>109</v>
      </c>
      <c r="E14" s="58" t="s">
        <v>96</v>
      </c>
      <c r="F14" s="58" t="s">
        <v>97</v>
      </c>
      <c r="G14" s="59" t="n">
        <v>0.0135</v>
      </c>
      <c r="H14" s="60" t="n">
        <v>6210</v>
      </c>
      <c r="I14" s="58" t="s">
        <v>91</v>
      </c>
      <c r="J14" s="58" t="s">
        <v>92</v>
      </c>
      <c r="K14" s="58" t="s">
        <v>118</v>
      </c>
    </row>
    <row r="15" customFormat="false" ht="13.5" hidden="false" customHeight="true" outlineLevel="0" collapsed="false">
      <c r="B15" s="65" t="s">
        <v>46</v>
      </c>
      <c r="C15" s="54" t="s">
        <v>119</v>
      </c>
      <c r="D15" s="54" t="s">
        <v>120</v>
      </c>
      <c r="E15" s="54" t="s">
        <v>96</v>
      </c>
      <c r="F15" s="54" t="s">
        <v>97</v>
      </c>
      <c r="G15" s="55" t="n">
        <v>0.0067</v>
      </c>
      <c r="H15" s="56" t="n">
        <v>3105</v>
      </c>
      <c r="I15" s="54" t="s">
        <v>91</v>
      </c>
      <c r="J15" s="54" t="s">
        <v>92</v>
      </c>
      <c r="K15" s="54" t="s">
        <v>121</v>
      </c>
    </row>
    <row r="16" customFormat="false" ht="13.5" hidden="false" customHeight="true" outlineLevel="0" collapsed="false">
      <c r="B16" s="66" t="s">
        <v>46</v>
      </c>
      <c r="C16" s="58" t="s">
        <v>122</v>
      </c>
      <c r="D16" s="58" t="s">
        <v>123</v>
      </c>
      <c r="E16" s="58" t="s">
        <v>124</v>
      </c>
      <c r="F16" s="58" t="s">
        <v>97</v>
      </c>
      <c r="G16" s="59" t="n">
        <v>0.0067</v>
      </c>
      <c r="H16" s="60" t="n">
        <v>3105</v>
      </c>
      <c r="I16" s="58" t="s">
        <v>91</v>
      </c>
      <c r="J16" s="58" t="s">
        <v>92</v>
      </c>
      <c r="K16" s="58" t="s">
        <v>125</v>
      </c>
    </row>
    <row r="17" customFormat="false" ht="13.5" hidden="false" customHeight="true" outlineLevel="0" collapsed="false">
      <c r="B17" s="65" t="s">
        <v>46</v>
      </c>
      <c r="C17" s="54" t="s">
        <v>126</v>
      </c>
      <c r="D17" s="54" t="s">
        <v>127</v>
      </c>
      <c r="E17" s="54" t="s">
        <v>96</v>
      </c>
      <c r="F17" s="54" t="s">
        <v>97</v>
      </c>
      <c r="G17" s="55" t="n">
        <v>0.015</v>
      </c>
      <c r="H17" s="56" t="n">
        <v>6900</v>
      </c>
      <c r="I17" s="54" t="s">
        <v>91</v>
      </c>
      <c r="J17" s="54" t="s">
        <v>92</v>
      </c>
      <c r="K17" s="54" t="s">
        <v>128</v>
      </c>
    </row>
    <row r="18" customFormat="false" ht="13.5" hidden="false" customHeight="true" outlineLevel="0" collapsed="false">
      <c r="B18" s="66" t="s">
        <v>46</v>
      </c>
      <c r="C18" s="58" t="s">
        <v>129</v>
      </c>
      <c r="D18" s="58" t="s">
        <v>130</v>
      </c>
      <c r="E18" s="58" t="s">
        <v>96</v>
      </c>
      <c r="F18" s="58" t="s">
        <v>97</v>
      </c>
      <c r="G18" s="59" t="n">
        <v>0.015</v>
      </c>
      <c r="H18" s="60" t="n">
        <v>6900</v>
      </c>
      <c r="I18" s="58" t="s">
        <v>91</v>
      </c>
      <c r="J18" s="58" t="s">
        <v>92</v>
      </c>
      <c r="K18" s="58" t="s">
        <v>131</v>
      </c>
    </row>
    <row r="19" customFormat="false" ht="13.5" hidden="false" customHeight="true" outlineLevel="0" collapsed="false">
      <c r="B19" s="65" t="s">
        <v>46</v>
      </c>
      <c r="C19" s="54" t="s">
        <v>132</v>
      </c>
      <c r="D19" s="54" t="s">
        <v>133</v>
      </c>
      <c r="E19" s="54" t="s">
        <v>134</v>
      </c>
      <c r="F19" s="54" t="s">
        <v>97</v>
      </c>
      <c r="G19" s="55" t="n">
        <v>0.015</v>
      </c>
      <c r="H19" s="56" t="n">
        <v>6900</v>
      </c>
      <c r="I19" s="54" t="s">
        <v>91</v>
      </c>
      <c r="J19" s="54" t="s">
        <v>92</v>
      </c>
      <c r="K19" s="54" t="s">
        <v>135</v>
      </c>
    </row>
    <row r="20" customFormat="false" ht="13.5" hidden="false" customHeight="true" outlineLevel="0" collapsed="false">
      <c r="B20" s="66" t="s">
        <v>46</v>
      </c>
      <c r="C20" s="58" t="s">
        <v>136</v>
      </c>
      <c r="D20" s="58" t="s">
        <v>137</v>
      </c>
      <c r="E20" s="58" t="s">
        <v>134</v>
      </c>
      <c r="F20" s="58" t="s">
        <v>97</v>
      </c>
      <c r="G20" s="59" t="n">
        <v>0.015</v>
      </c>
      <c r="H20" s="60" t="n">
        <v>6900</v>
      </c>
      <c r="I20" s="58" t="s">
        <v>91</v>
      </c>
      <c r="J20" s="58" t="s">
        <v>92</v>
      </c>
      <c r="K20" s="58" t="s">
        <v>138</v>
      </c>
    </row>
    <row r="21" customFormat="false" ht="13.5" hidden="false" customHeight="true" outlineLevel="0" collapsed="false">
      <c r="B21" s="65" t="s">
        <v>46</v>
      </c>
      <c r="C21" s="54" t="s">
        <v>139</v>
      </c>
      <c r="D21" s="54" t="s">
        <v>140</v>
      </c>
      <c r="E21" s="54" t="s">
        <v>141</v>
      </c>
      <c r="F21" s="54" t="s">
        <v>97</v>
      </c>
      <c r="G21" s="55" t="n">
        <v>0.006</v>
      </c>
      <c r="H21" s="56" t="n">
        <v>2760</v>
      </c>
      <c r="I21" s="54" t="s">
        <v>91</v>
      </c>
      <c r="J21" s="54" t="s">
        <v>92</v>
      </c>
      <c r="K21" s="54" t="s">
        <v>142</v>
      </c>
    </row>
    <row r="22" customFormat="false" ht="13.5" hidden="false" customHeight="true" outlineLevel="0" collapsed="false">
      <c r="B22" s="66" t="s">
        <v>46</v>
      </c>
      <c r="C22" s="58" t="s">
        <v>143</v>
      </c>
      <c r="D22" s="58" t="s">
        <v>144</v>
      </c>
      <c r="E22" s="58" t="s">
        <v>141</v>
      </c>
      <c r="F22" s="58" t="s">
        <v>97</v>
      </c>
      <c r="G22" s="59" t="n">
        <v>0.006</v>
      </c>
      <c r="H22" s="60" t="n">
        <v>2760</v>
      </c>
      <c r="I22" s="58" t="s">
        <v>91</v>
      </c>
      <c r="J22" s="58" t="s">
        <v>92</v>
      </c>
      <c r="K22" s="58" t="s">
        <v>145</v>
      </c>
    </row>
    <row r="23" customFormat="false" ht="13.5" hidden="false" customHeight="true" outlineLevel="0" collapsed="false">
      <c r="B23" s="65" t="s">
        <v>46</v>
      </c>
      <c r="C23" s="54" t="s">
        <v>146</v>
      </c>
      <c r="D23" s="54" t="s">
        <v>147</v>
      </c>
      <c r="E23" s="54" t="s">
        <v>141</v>
      </c>
      <c r="F23" s="54" t="s">
        <v>97</v>
      </c>
      <c r="G23" s="55" t="n">
        <v>0.006</v>
      </c>
      <c r="H23" s="56" t="n">
        <v>2760</v>
      </c>
      <c r="I23" s="54" t="s">
        <v>91</v>
      </c>
      <c r="J23" s="54" t="s">
        <v>92</v>
      </c>
      <c r="K23" s="54" t="s">
        <v>148</v>
      </c>
    </row>
    <row r="24" customFormat="false" ht="13.5" hidden="false" customHeight="true" outlineLevel="0" collapsed="false">
      <c r="B24" s="66" t="s">
        <v>46</v>
      </c>
      <c r="C24" s="58" t="s">
        <v>149</v>
      </c>
      <c r="D24" s="58" t="s">
        <v>150</v>
      </c>
      <c r="E24" s="58" t="s">
        <v>141</v>
      </c>
      <c r="F24" s="58" t="s">
        <v>97</v>
      </c>
      <c r="G24" s="59" t="n">
        <v>0.006</v>
      </c>
      <c r="H24" s="60" t="n">
        <v>2760</v>
      </c>
      <c r="I24" s="58" t="s">
        <v>91</v>
      </c>
      <c r="J24" s="58" t="s">
        <v>92</v>
      </c>
      <c r="K24" s="58" t="s">
        <v>151</v>
      </c>
    </row>
    <row r="25" customFormat="false" ht="13.5" hidden="false" customHeight="true" outlineLevel="0" collapsed="false">
      <c r="B25" s="65" t="s">
        <v>46</v>
      </c>
      <c r="C25" s="54" t="s">
        <v>152</v>
      </c>
      <c r="D25" s="54" t="s">
        <v>153</v>
      </c>
      <c r="E25" s="54" t="s">
        <v>141</v>
      </c>
      <c r="F25" s="54" t="s">
        <v>97</v>
      </c>
      <c r="G25" s="55" t="n">
        <v>0.009</v>
      </c>
      <c r="H25" s="56" t="n">
        <v>4140</v>
      </c>
      <c r="I25" s="54" t="s">
        <v>91</v>
      </c>
      <c r="J25" s="54" t="s">
        <v>92</v>
      </c>
      <c r="K25" s="54" t="s">
        <v>154</v>
      </c>
    </row>
    <row r="26" customFormat="false" ht="13.5" hidden="false" customHeight="true" outlineLevel="0" collapsed="false">
      <c r="B26" s="67" t="s">
        <v>48</v>
      </c>
      <c r="C26" s="58" t="s">
        <v>155</v>
      </c>
      <c r="D26" s="58" t="s">
        <v>156</v>
      </c>
      <c r="E26" s="58" t="s">
        <v>157</v>
      </c>
      <c r="F26" s="58" t="s">
        <v>97</v>
      </c>
      <c r="G26" s="59" t="n">
        <v>0.08</v>
      </c>
      <c r="H26" s="60" t="n">
        <v>36800</v>
      </c>
      <c r="I26" s="58" t="s">
        <v>91</v>
      </c>
      <c r="J26" s="58" t="s">
        <v>92</v>
      </c>
      <c r="K26" s="58" t="s">
        <v>158</v>
      </c>
    </row>
    <row r="27" customFormat="false" ht="13.5" hidden="false" customHeight="true" outlineLevel="0" collapsed="false">
      <c r="B27" s="68" t="s">
        <v>48</v>
      </c>
      <c r="C27" s="54" t="s">
        <v>159</v>
      </c>
      <c r="D27" s="54" t="s">
        <v>160</v>
      </c>
      <c r="E27" s="54" t="s">
        <v>157</v>
      </c>
      <c r="F27" s="54" t="s">
        <v>97</v>
      </c>
      <c r="G27" s="55" t="n">
        <v>0.0125</v>
      </c>
      <c r="H27" s="56" t="n">
        <v>5750</v>
      </c>
      <c r="I27" s="54" t="s">
        <v>91</v>
      </c>
      <c r="J27" s="54" t="s">
        <v>92</v>
      </c>
      <c r="K27" s="54" t="s">
        <v>161</v>
      </c>
    </row>
    <row r="28" customFormat="false" ht="13.5" hidden="false" customHeight="true" outlineLevel="0" collapsed="false">
      <c r="B28" s="67" t="s">
        <v>48</v>
      </c>
      <c r="C28" s="58" t="s">
        <v>162</v>
      </c>
      <c r="D28" s="58" t="s">
        <v>163</v>
      </c>
      <c r="E28" s="58" t="s">
        <v>157</v>
      </c>
      <c r="F28" s="58" t="s">
        <v>97</v>
      </c>
      <c r="G28" s="59" t="n">
        <v>0.0056</v>
      </c>
      <c r="H28" s="60" t="n">
        <v>2576</v>
      </c>
      <c r="I28" s="58" t="s">
        <v>91</v>
      </c>
      <c r="J28" s="58" t="s">
        <v>92</v>
      </c>
      <c r="K28" s="58" t="s">
        <v>164</v>
      </c>
    </row>
    <row r="29" customFormat="false" ht="13.5" hidden="false" customHeight="true" outlineLevel="0" collapsed="false">
      <c r="B29" s="68" t="s">
        <v>48</v>
      </c>
      <c r="C29" s="54" t="s">
        <v>165</v>
      </c>
      <c r="D29" s="54" t="s">
        <v>166</v>
      </c>
      <c r="E29" s="54" t="s">
        <v>157</v>
      </c>
      <c r="F29" s="54" t="s">
        <v>97</v>
      </c>
      <c r="G29" s="55" t="n">
        <v>0.0019</v>
      </c>
      <c r="H29" s="56" t="n">
        <v>874</v>
      </c>
      <c r="I29" s="54" t="s">
        <v>91</v>
      </c>
      <c r="J29" s="54" t="s">
        <v>92</v>
      </c>
      <c r="K29" s="54" t="s">
        <v>167</v>
      </c>
    </row>
    <row r="30" customFormat="false" ht="13.5" hidden="false" customHeight="true" outlineLevel="0" collapsed="false">
      <c r="B30" s="69" t="s">
        <v>33</v>
      </c>
      <c r="G30" s="70" t="n">
        <f aca="false">SUM(G5:G29)</f>
        <v>0.9999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4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5.5" hidden="false" customHeight="true" outlineLevel="0" collapsed="false">
      <c r="A2" s="1"/>
      <c r="B2" s="29" t="s">
        <v>168</v>
      </c>
      <c r="C2" s="29"/>
      <c r="D2" s="29"/>
      <c r="E2" s="29"/>
      <c r="F2" s="29"/>
      <c r="G2" s="29"/>
      <c r="H2" s="29"/>
      <c r="I2" s="29"/>
      <c r="J2" s="29"/>
      <c r="K2" s="1"/>
      <c r="L2" s="1"/>
      <c r="M2" s="1"/>
      <c r="N2" s="1"/>
      <c r="O2" s="1"/>
      <c r="P2" s="1"/>
      <c r="Q2" s="1"/>
      <c r="R2" s="1"/>
      <c r="S2" s="1"/>
    </row>
    <row r="3" customFormat="false" ht="6" hidden="false" customHeight="true" outlineLevel="0" collapsed="false"/>
    <row r="4" customFormat="false" ht="15.75" hidden="false" customHeight="true" outlineLevel="0" collapsed="false">
      <c r="B4" s="11" t="s">
        <v>80</v>
      </c>
      <c r="C4" s="11" t="s">
        <v>169</v>
      </c>
      <c r="D4" s="11" t="s">
        <v>62</v>
      </c>
      <c r="E4" s="11" t="s">
        <v>64</v>
      </c>
      <c r="F4" s="11" t="s">
        <v>170</v>
      </c>
      <c r="G4" s="11" t="s">
        <v>65</v>
      </c>
      <c r="K4" s="71" t="s">
        <v>80</v>
      </c>
      <c r="L4" s="71" t="s">
        <v>171</v>
      </c>
    </row>
    <row r="5" customFormat="false" ht="13.5" hidden="false" customHeight="true" outlineLevel="0" collapsed="false">
      <c r="B5" s="65" t="s">
        <v>94</v>
      </c>
      <c r="C5" s="54" t="s">
        <v>172</v>
      </c>
      <c r="D5" s="55" t="n">
        <v>0.5</v>
      </c>
      <c r="E5" s="56" t="n">
        <v>69000</v>
      </c>
      <c r="F5" s="72" t="n">
        <v>1380</v>
      </c>
      <c r="G5" s="54" t="s">
        <v>173</v>
      </c>
      <c r="K5" s="0" t="s">
        <v>94</v>
      </c>
      <c r="L5" s="0" t="n">
        <v>69000</v>
      </c>
    </row>
    <row r="6" customFormat="false" ht="13.5" hidden="false" customHeight="true" outlineLevel="0" collapsed="false">
      <c r="B6" s="66" t="s">
        <v>112</v>
      </c>
      <c r="C6" s="58" t="s">
        <v>174</v>
      </c>
      <c r="D6" s="59" t="n">
        <v>0.055</v>
      </c>
      <c r="E6" s="60" t="n">
        <v>7590</v>
      </c>
      <c r="F6" s="73" t="n">
        <v>220</v>
      </c>
      <c r="G6" s="58" t="s">
        <v>175</v>
      </c>
      <c r="K6" s="0" t="s">
        <v>112</v>
      </c>
      <c r="L6" s="0" t="n">
        <v>7590</v>
      </c>
    </row>
    <row r="7" customFormat="false" ht="13.5" hidden="false" customHeight="true" outlineLevel="0" collapsed="false">
      <c r="B7" s="65" t="s">
        <v>115</v>
      </c>
      <c r="C7" s="54" t="s">
        <v>176</v>
      </c>
      <c r="D7" s="55" t="n">
        <v>0.045</v>
      </c>
      <c r="E7" s="56" t="n">
        <v>6210</v>
      </c>
      <c r="F7" s="72" t="n">
        <v>12</v>
      </c>
      <c r="G7" s="54" t="s">
        <v>177</v>
      </c>
      <c r="K7" s="0" t="s">
        <v>115</v>
      </c>
      <c r="L7" s="0" t="n">
        <v>6210</v>
      </c>
    </row>
    <row r="8" customFormat="false" ht="13.5" hidden="false" customHeight="true" outlineLevel="0" collapsed="false">
      <c r="B8" s="66" t="s">
        <v>108</v>
      </c>
      <c r="C8" s="58" t="s">
        <v>178</v>
      </c>
      <c r="D8" s="59" t="n">
        <v>0.045</v>
      </c>
      <c r="E8" s="60" t="n">
        <v>6210</v>
      </c>
      <c r="F8" s="73" t="n">
        <v>180</v>
      </c>
      <c r="G8" s="58" t="s">
        <v>179</v>
      </c>
      <c r="K8" s="0" t="s">
        <v>108</v>
      </c>
      <c r="L8" s="0" t="n">
        <v>6210</v>
      </c>
    </row>
    <row r="9" customFormat="false" ht="13.5" hidden="false" customHeight="true" outlineLevel="0" collapsed="false">
      <c r="B9" s="65" t="s">
        <v>119</v>
      </c>
      <c r="C9" s="54" t="s">
        <v>180</v>
      </c>
      <c r="D9" s="55" t="n">
        <v>0.0225</v>
      </c>
      <c r="E9" s="56" t="n">
        <v>3105</v>
      </c>
      <c r="F9" s="72" t="n">
        <v>45</v>
      </c>
      <c r="G9" s="54" t="s">
        <v>181</v>
      </c>
      <c r="K9" s="0" t="s">
        <v>119</v>
      </c>
      <c r="L9" s="0" t="n">
        <v>3105</v>
      </c>
    </row>
    <row r="10" customFormat="false" ht="13.5" hidden="false" customHeight="true" outlineLevel="0" collapsed="false">
      <c r="B10" s="66" t="s">
        <v>122</v>
      </c>
      <c r="C10" s="58" t="s">
        <v>182</v>
      </c>
      <c r="D10" s="59" t="n">
        <v>0.0225</v>
      </c>
      <c r="E10" s="60" t="n">
        <v>3105</v>
      </c>
      <c r="F10" s="73" t="n">
        <v>210</v>
      </c>
      <c r="G10" s="58" t="s">
        <v>183</v>
      </c>
      <c r="K10" s="0" t="s">
        <v>122</v>
      </c>
      <c r="L10" s="0" t="n">
        <v>3105</v>
      </c>
    </row>
    <row r="11" customFormat="false" ht="13.5" hidden="false" customHeight="true" outlineLevel="0" collapsed="false">
      <c r="B11" s="65" t="s">
        <v>126</v>
      </c>
      <c r="C11" s="54" t="s">
        <v>184</v>
      </c>
      <c r="D11" s="55" t="n">
        <v>0.05</v>
      </c>
      <c r="E11" s="56" t="n">
        <v>6900</v>
      </c>
      <c r="F11" s="72" t="n">
        <v>240</v>
      </c>
      <c r="G11" s="54" t="s">
        <v>185</v>
      </c>
      <c r="K11" s="0" t="s">
        <v>126</v>
      </c>
      <c r="L11" s="0" t="n">
        <v>6900</v>
      </c>
    </row>
    <row r="12" customFormat="false" ht="13.5" hidden="false" customHeight="true" outlineLevel="0" collapsed="false">
      <c r="B12" s="66" t="s">
        <v>129</v>
      </c>
      <c r="C12" s="58" t="s">
        <v>186</v>
      </c>
      <c r="D12" s="59" t="n">
        <v>0.05</v>
      </c>
      <c r="E12" s="60" t="n">
        <v>6900</v>
      </c>
      <c r="F12" s="73" t="n">
        <v>410</v>
      </c>
      <c r="G12" s="58" t="s">
        <v>187</v>
      </c>
      <c r="K12" s="0" t="s">
        <v>129</v>
      </c>
      <c r="L12" s="0" t="n">
        <v>6900</v>
      </c>
    </row>
    <row r="13" customFormat="false" ht="13.5" hidden="false" customHeight="true" outlineLevel="0" collapsed="false">
      <c r="B13" s="65" t="s">
        <v>132</v>
      </c>
      <c r="C13" s="54" t="s">
        <v>188</v>
      </c>
      <c r="D13" s="55" t="n">
        <v>0.05</v>
      </c>
      <c r="E13" s="56" t="n">
        <v>6900</v>
      </c>
      <c r="F13" s="72" t="n">
        <v>90</v>
      </c>
      <c r="G13" s="54" t="s">
        <v>135</v>
      </c>
      <c r="K13" s="0" t="s">
        <v>132</v>
      </c>
      <c r="L13" s="0" t="n">
        <v>6900</v>
      </c>
    </row>
    <row r="14" customFormat="false" ht="13.5" hidden="false" customHeight="true" outlineLevel="0" collapsed="false">
      <c r="B14" s="66" t="s">
        <v>136</v>
      </c>
      <c r="C14" s="58" t="s">
        <v>189</v>
      </c>
      <c r="D14" s="59" t="n">
        <v>0.05</v>
      </c>
      <c r="E14" s="60" t="n">
        <v>6900</v>
      </c>
      <c r="F14" s="73" t="n">
        <v>70</v>
      </c>
      <c r="G14" s="58" t="s">
        <v>190</v>
      </c>
      <c r="K14" s="0" t="s">
        <v>136</v>
      </c>
      <c r="L14" s="0" t="n">
        <v>6900</v>
      </c>
    </row>
    <row r="15" customFormat="false" ht="13.5" hidden="false" customHeight="true" outlineLevel="0" collapsed="false">
      <c r="B15" s="65" t="s">
        <v>139</v>
      </c>
      <c r="C15" s="54" t="s">
        <v>191</v>
      </c>
      <c r="D15" s="55" t="n">
        <v>0.02</v>
      </c>
      <c r="E15" s="56" t="n">
        <v>2760</v>
      </c>
      <c r="F15" s="72" t="n">
        <v>2</v>
      </c>
      <c r="G15" s="54" t="s">
        <v>142</v>
      </c>
      <c r="K15" s="0" t="s">
        <v>139</v>
      </c>
      <c r="L15" s="0" t="n">
        <v>2760</v>
      </c>
    </row>
    <row r="16" customFormat="false" ht="13.5" hidden="false" customHeight="true" outlineLevel="0" collapsed="false">
      <c r="B16" s="66" t="s">
        <v>143</v>
      </c>
      <c r="C16" s="58" t="s">
        <v>192</v>
      </c>
      <c r="D16" s="59" t="n">
        <v>0.02</v>
      </c>
      <c r="E16" s="60" t="n">
        <v>2760</v>
      </c>
      <c r="F16" s="73" t="n">
        <v>230</v>
      </c>
      <c r="G16" s="58" t="s">
        <v>145</v>
      </c>
      <c r="K16" s="0" t="s">
        <v>143</v>
      </c>
      <c r="L16" s="0" t="n">
        <v>2760</v>
      </c>
    </row>
    <row r="17" customFormat="false" ht="13.5" hidden="false" customHeight="true" outlineLevel="0" collapsed="false">
      <c r="B17" s="65" t="s">
        <v>146</v>
      </c>
      <c r="C17" s="54" t="s">
        <v>193</v>
      </c>
      <c r="D17" s="55" t="n">
        <v>0.02</v>
      </c>
      <c r="E17" s="56" t="n">
        <v>2760</v>
      </c>
      <c r="F17" s="72" t="n">
        <v>160</v>
      </c>
      <c r="G17" s="54" t="s">
        <v>148</v>
      </c>
      <c r="K17" s="0" t="s">
        <v>146</v>
      </c>
      <c r="L17" s="0" t="n">
        <v>2760</v>
      </c>
    </row>
    <row r="18" customFormat="false" ht="13.5" hidden="false" customHeight="true" outlineLevel="0" collapsed="false">
      <c r="B18" s="66" t="s">
        <v>149</v>
      </c>
      <c r="C18" s="58" t="s">
        <v>194</v>
      </c>
      <c r="D18" s="59" t="n">
        <v>0.02</v>
      </c>
      <c r="E18" s="60" t="n">
        <v>2760</v>
      </c>
      <c r="F18" s="73" t="n">
        <v>12</v>
      </c>
      <c r="G18" s="58" t="s">
        <v>195</v>
      </c>
      <c r="K18" s="0" t="s">
        <v>149</v>
      </c>
      <c r="L18" s="0" t="n">
        <v>2760</v>
      </c>
    </row>
    <row r="19" customFormat="false" ht="13.5" hidden="false" customHeight="true" outlineLevel="0" collapsed="false">
      <c r="B19" s="65" t="s">
        <v>152</v>
      </c>
      <c r="C19" s="54" t="s">
        <v>196</v>
      </c>
      <c r="D19" s="55" t="n">
        <v>0.03</v>
      </c>
      <c r="E19" s="56" t="n">
        <v>4140</v>
      </c>
      <c r="F19" s="72" t="n">
        <v>17</v>
      </c>
      <c r="G19" s="54" t="s">
        <v>154</v>
      </c>
      <c r="K19" s="0" t="s">
        <v>152</v>
      </c>
      <c r="L19" s="0" t="n">
        <v>4140</v>
      </c>
    </row>
    <row r="20" customFormat="false" ht="13.5" hidden="false" customHeight="true" outlineLevel="0" collapsed="false">
      <c r="B20" s="69" t="s">
        <v>33</v>
      </c>
      <c r="D20" s="74" t="n">
        <f aca="false">SUM(E5:E19)</f>
        <v>138000</v>
      </c>
      <c r="E20" s="70" t="n">
        <f aca="false">SUM(F5:F19)</f>
        <v>3278</v>
      </c>
    </row>
    <row r="22" customFormat="false" ht="6" hidden="false" customHeight="true" outlineLevel="0" collapsed="false"/>
    <row r="23" customFormat="false" ht="15" hidden="false" customHeight="false" outlineLevel="0" collapsed="false">
      <c r="B23" s="75" t="s">
        <v>197</v>
      </c>
      <c r="C23" s="75"/>
      <c r="D23" s="75"/>
      <c r="E23" s="75"/>
      <c r="F23" s="75"/>
      <c r="G23" s="75"/>
    </row>
    <row r="24" customFormat="false" ht="15" hidden="false" customHeight="false" outlineLevel="0" collapsed="false">
      <c r="B24" s="52" t="s">
        <v>198</v>
      </c>
      <c r="C24" s="52"/>
      <c r="D24" s="52"/>
      <c r="E24" s="52"/>
      <c r="F24" s="52"/>
      <c r="G24" s="52"/>
    </row>
    <row r="25" customFormat="false" ht="15" hidden="false" customHeight="false" outlineLevel="0" collapsed="false">
      <c r="B25" s="52" t="s">
        <v>199</v>
      </c>
      <c r="C25" s="52"/>
      <c r="D25" s="52"/>
      <c r="E25" s="52"/>
      <c r="F25" s="52"/>
      <c r="G25" s="52"/>
    </row>
    <row r="26" customFormat="false" ht="15" hidden="false" customHeight="false" outlineLevel="0" collapsed="false">
      <c r="B26" s="52" t="s">
        <v>200</v>
      </c>
      <c r="C26" s="52"/>
      <c r="D26" s="52"/>
      <c r="E26" s="52"/>
      <c r="F26" s="52"/>
      <c r="G26" s="52"/>
    </row>
  </sheetData>
  <mergeCells count="5">
    <mergeCell ref="B2:J2"/>
    <mergeCell ref="B23:G23"/>
    <mergeCell ref="B24:G24"/>
    <mergeCell ref="B25:G2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5.5" hidden="false" customHeight="true" outlineLevel="0" collapsed="false">
      <c r="A2" s="1"/>
      <c r="B2" s="29" t="s">
        <v>201</v>
      </c>
      <c r="C2" s="29"/>
      <c r="D2" s="29"/>
      <c r="E2" s="29"/>
      <c r="F2" s="29"/>
      <c r="G2" s="29"/>
      <c r="H2" s="29"/>
      <c r="I2" s="29"/>
      <c r="J2" s="29"/>
      <c r="K2" s="29"/>
      <c r="L2" s="1"/>
      <c r="M2" s="1"/>
      <c r="N2" s="1"/>
      <c r="O2" s="1"/>
      <c r="P2" s="1"/>
      <c r="Q2" s="1"/>
    </row>
    <row r="3" customFormat="false" ht="6" hidden="false" customHeight="true" outlineLevel="0" collapsed="false"/>
    <row r="4" customFormat="false" ht="15.75" hidden="false" customHeight="true" outlineLevel="0" collapsed="false">
      <c r="B4" s="11" t="s">
        <v>202</v>
      </c>
      <c r="C4" s="11" t="s">
        <v>80</v>
      </c>
      <c r="D4" s="11" t="s">
        <v>203</v>
      </c>
      <c r="E4" s="11" t="s">
        <v>64</v>
      </c>
      <c r="F4" s="11" t="s">
        <v>204</v>
      </c>
      <c r="G4" s="11" t="s">
        <v>65</v>
      </c>
      <c r="J4" s="71" t="s">
        <v>80</v>
      </c>
      <c r="K4" s="71" t="s">
        <v>171</v>
      </c>
    </row>
    <row r="5" customFormat="false" ht="18" hidden="false" customHeight="true" outlineLevel="0" collapsed="false">
      <c r="B5" s="41" t="s">
        <v>48</v>
      </c>
      <c r="C5" s="34" t="s">
        <v>155</v>
      </c>
      <c r="D5" s="32" t="n">
        <v>0.8</v>
      </c>
      <c r="E5" s="33" t="n">
        <v>36800</v>
      </c>
      <c r="F5" s="76" t="n">
        <v>0.368</v>
      </c>
      <c r="G5" s="34" t="s">
        <v>205</v>
      </c>
      <c r="J5" s="0" t="s">
        <v>155</v>
      </c>
      <c r="K5" s="0" t="n">
        <v>36800</v>
      </c>
    </row>
    <row r="6" customFormat="false" ht="18" hidden="false" customHeight="true" outlineLevel="0" collapsed="false">
      <c r="B6" s="40" t="s">
        <v>206</v>
      </c>
      <c r="C6" s="38" t="s">
        <v>159</v>
      </c>
      <c r="D6" s="36" t="n">
        <v>0.125</v>
      </c>
      <c r="E6" s="37" t="n">
        <v>5750</v>
      </c>
      <c r="F6" s="77" t="n">
        <v>1.44</v>
      </c>
      <c r="G6" s="38" t="s">
        <v>207</v>
      </c>
      <c r="J6" s="0" t="s">
        <v>159</v>
      </c>
      <c r="K6" s="0" t="n">
        <v>5750</v>
      </c>
    </row>
    <row r="7" customFormat="false" ht="18" hidden="false" customHeight="true" outlineLevel="0" collapsed="false">
      <c r="B7" s="78" t="s">
        <v>208</v>
      </c>
      <c r="C7" s="34" t="s">
        <v>162</v>
      </c>
      <c r="D7" s="32" t="n">
        <v>0.056</v>
      </c>
      <c r="E7" s="33" t="n">
        <v>2576</v>
      </c>
      <c r="F7" s="76" t="n">
        <v>25.8</v>
      </c>
      <c r="G7" s="34" t="s">
        <v>209</v>
      </c>
      <c r="J7" s="0" t="s">
        <v>162</v>
      </c>
      <c r="K7" s="0" t="n">
        <v>2576</v>
      </c>
    </row>
    <row r="8" customFormat="false" ht="18" hidden="false" customHeight="true" outlineLevel="0" collapsed="false">
      <c r="B8" s="79" t="s">
        <v>210</v>
      </c>
      <c r="C8" s="38" t="s">
        <v>165</v>
      </c>
      <c r="D8" s="36" t="n">
        <v>0.019</v>
      </c>
      <c r="E8" s="37" t="n">
        <v>874</v>
      </c>
      <c r="F8" s="77" t="n">
        <v>41.6</v>
      </c>
      <c r="G8" s="38" t="s">
        <v>167</v>
      </c>
      <c r="J8" s="0" t="s">
        <v>165</v>
      </c>
      <c r="K8" s="0" t="n">
        <v>874</v>
      </c>
    </row>
    <row r="9" customFormat="false" ht="18" hidden="false" customHeight="true" outlineLevel="0" collapsed="false">
      <c r="B9" s="42" t="s">
        <v>33</v>
      </c>
      <c r="D9" s="43" t="n">
        <f aca="false">SUM(E5:E8)</f>
        <v>46000</v>
      </c>
      <c r="E9" s="44" t="n">
        <f aca="false">SUM(F5:F8)</f>
        <v>69.208</v>
      </c>
    </row>
    <row r="11" customFormat="false" ht="6" hidden="false" customHeight="true" outlineLevel="0" collapsed="false"/>
    <row r="12" customFormat="false" ht="15" hidden="false" customHeight="false" outlineLevel="0" collapsed="false">
      <c r="B12" s="75" t="s">
        <v>197</v>
      </c>
      <c r="C12" s="75"/>
      <c r="D12" s="75"/>
      <c r="E12" s="75"/>
      <c r="F12" s="75"/>
      <c r="G12" s="75"/>
    </row>
    <row r="13" customFormat="false" ht="15" hidden="false" customHeight="false" outlineLevel="0" collapsed="false">
      <c r="B13" s="52" t="s">
        <v>211</v>
      </c>
      <c r="C13" s="52"/>
      <c r="D13" s="52"/>
      <c r="E13" s="52"/>
      <c r="F13" s="52"/>
      <c r="G13" s="52"/>
    </row>
    <row r="14" customFormat="false" ht="15" hidden="false" customHeight="false" outlineLevel="0" collapsed="false">
      <c r="B14" s="52" t="s">
        <v>212</v>
      </c>
      <c r="C14" s="52"/>
      <c r="D14" s="52"/>
      <c r="E14" s="52"/>
      <c r="F14" s="52"/>
      <c r="G14" s="52"/>
    </row>
    <row r="15" customFormat="false" ht="15" hidden="false" customHeight="false" outlineLevel="0" collapsed="false">
      <c r="B15" s="52" t="s">
        <v>213</v>
      </c>
      <c r="C15" s="52"/>
      <c r="D15" s="52"/>
      <c r="E15" s="52"/>
      <c r="F15" s="52"/>
      <c r="G15" s="52"/>
    </row>
  </sheetData>
  <mergeCells count="5">
    <mergeCell ref="B2:K2"/>
    <mergeCell ref="B12:G12"/>
    <mergeCell ref="B13:G13"/>
    <mergeCell ref="B14:G14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C842"/>
    <pageSetUpPr fitToPage="false"/>
  </sheetPr>
  <dimension ref="A1:U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5.5" hidden="false" customHeight="true" outlineLevel="0" collapsed="false">
      <c r="A2" s="1"/>
      <c r="B2" s="29" t="s">
        <v>214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"/>
      <c r="P2" s="1"/>
      <c r="Q2" s="1"/>
      <c r="R2" s="1"/>
      <c r="S2" s="1"/>
      <c r="T2" s="1"/>
      <c r="U2" s="1"/>
    </row>
    <row r="3" customFormat="false" ht="6" hidden="false" customHeight="true" outlineLevel="0" collapsed="false"/>
    <row r="4" customFormat="false" ht="21.75" hidden="false" customHeight="true" outlineLevel="0" collapsed="false">
      <c r="B4" s="80" t="s">
        <v>215</v>
      </c>
      <c r="C4" s="80"/>
      <c r="D4" s="80"/>
    </row>
    <row r="5" customFormat="false" ht="21.75" hidden="false" customHeight="true" outlineLevel="0" collapsed="false">
      <c r="B5" s="81" t="s">
        <v>12</v>
      </c>
      <c r="C5" s="81"/>
      <c r="D5" s="81"/>
    </row>
    <row r="6" customFormat="false" ht="21.75" hidden="false" customHeight="true" outlineLevel="0" collapsed="false"/>
    <row r="7" customFormat="false" ht="6" hidden="false" customHeight="true" outlineLevel="0" collapsed="false"/>
    <row r="8" customFormat="false" ht="18" hidden="false" customHeight="true" outlineLevel="0" collapsed="false">
      <c r="B8" s="51" t="s">
        <v>216</v>
      </c>
      <c r="C8" s="51"/>
      <c r="D8" s="51"/>
      <c r="E8" s="51"/>
      <c r="F8" s="51"/>
      <c r="G8" s="51"/>
      <c r="H8" s="51"/>
    </row>
    <row r="9" customFormat="false" ht="15.75" hidden="false" customHeight="true" outlineLevel="0" collapsed="false">
      <c r="B9" s="11" t="s">
        <v>35</v>
      </c>
      <c r="C9" s="11" t="s">
        <v>217</v>
      </c>
      <c r="D9" s="11" t="s">
        <v>12</v>
      </c>
      <c r="E9" s="11" t="s">
        <v>218</v>
      </c>
      <c r="H9" s="71" t="s">
        <v>17</v>
      </c>
      <c r="I9" s="71" t="s">
        <v>217</v>
      </c>
      <c r="J9" s="71" t="s">
        <v>12</v>
      </c>
      <c r="K9" s="71" t="s">
        <v>218</v>
      </c>
    </row>
    <row r="10" customFormat="false" ht="15.75" hidden="false" customHeight="true" outlineLevel="0" collapsed="false">
      <c r="B10" s="82" t="s">
        <v>40</v>
      </c>
      <c r="C10" s="83" t="n">
        <v>0.35</v>
      </c>
      <c r="D10" s="84" t="n">
        <v>0.25</v>
      </c>
      <c r="E10" s="83" t="n">
        <v>0.15</v>
      </c>
      <c r="H10" s="0" t="s">
        <v>40</v>
      </c>
      <c r="I10" s="0" t="n">
        <v>0.35</v>
      </c>
      <c r="J10" s="0" t="n">
        <v>0.25</v>
      </c>
      <c r="K10" s="0" t="n">
        <v>0.15</v>
      </c>
    </row>
    <row r="11" customFormat="false" ht="15.75" hidden="false" customHeight="true" outlineLevel="0" collapsed="false">
      <c r="B11" s="85" t="s">
        <v>42</v>
      </c>
      <c r="C11" s="86" t="n">
        <v>0.25</v>
      </c>
      <c r="D11" s="84" t="n">
        <v>0.15</v>
      </c>
      <c r="E11" s="86" t="n">
        <v>0.1</v>
      </c>
      <c r="H11" s="0" t="s">
        <v>42</v>
      </c>
      <c r="I11" s="0" t="n">
        <v>0.25</v>
      </c>
      <c r="J11" s="0" t="n">
        <v>0.15</v>
      </c>
      <c r="K11" s="0" t="n">
        <v>0.1</v>
      </c>
    </row>
    <row r="12" customFormat="false" ht="15.75" hidden="false" customHeight="true" outlineLevel="0" collapsed="false">
      <c r="B12" s="87" t="s">
        <v>44</v>
      </c>
      <c r="C12" s="83" t="n">
        <v>0.2</v>
      </c>
      <c r="D12" s="84" t="n">
        <v>0.2</v>
      </c>
      <c r="E12" s="83" t="n">
        <v>0.15</v>
      </c>
      <c r="H12" s="0" t="s">
        <v>44</v>
      </c>
      <c r="I12" s="0" t="n">
        <v>0.2</v>
      </c>
      <c r="J12" s="0" t="n">
        <v>0.2</v>
      </c>
      <c r="K12" s="0" t="n">
        <v>0.15</v>
      </c>
    </row>
    <row r="13" customFormat="false" ht="15.75" hidden="false" customHeight="true" outlineLevel="0" collapsed="false">
      <c r="B13" s="88" t="s">
        <v>46</v>
      </c>
      <c r="C13" s="86" t="n">
        <v>0.15</v>
      </c>
      <c r="D13" s="84" t="n">
        <v>0.3</v>
      </c>
      <c r="E13" s="86" t="n">
        <v>0.4</v>
      </c>
      <c r="H13" s="0" t="s">
        <v>46</v>
      </c>
      <c r="I13" s="0" t="n">
        <v>0.15</v>
      </c>
      <c r="J13" s="0" t="n">
        <v>0.3</v>
      </c>
      <c r="K13" s="0" t="n">
        <v>0.4</v>
      </c>
    </row>
    <row r="14" customFormat="false" ht="15.75" hidden="false" customHeight="true" outlineLevel="0" collapsed="false">
      <c r="B14" s="89" t="s">
        <v>48</v>
      </c>
      <c r="C14" s="83" t="n">
        <v>0.05</v>
      </c>
      <c r="D14" s="84" t="n">
        <v>0.1</v>
      </c>
      <c r="E14" s="83" t="n">
        <v>0.2</v>
      </c>
      <c r="H14" s="0" t="s">
        <v>48</v>
      </c>
      <c r="I14" s="0" t="n">
        <v>0.05</v>
      </c>
      <c r="J14" s="0" t="n">
        <v>0.1</v>
      </c>
      <c r="K14" s="0" t="n">
        <v>0.2</v>
      </c>
    </row>
    <row r="16" customFormat="false" ht="6" hidden="false" customHeight="true" outlineLevel="0" collapsed="false"/>
    <row r="17" customFormat="false" ht="18" hidden="false" customHeight="true" outlineLevel="0" collapsed="false">
      <c r="B17" s="51" t="s">
        <v>219</v>
      </c>
      <c r="C17" s="51"/>
      <c r="D17" s="51"/>
      <c r="E17" s="51"/>
      <c r="F17" s="51"/>
      <c r="G17" s="51"/>
      <c r="H17" s="51"/>
      <c r="I17" s="51"/>
      <c r="J17" s="51"/>
      <c r="K17" s="51"/>
    </row>
    <row r="18" customFormat="false" ht="15.75" hidden="false" customHeight="true" outlineLevel="0" collapsed="false">
      <c r="B18" s="11" t="s">
        <v>220</v>
      </c>
      <c r="C18" s="11" t="s">
        <v>169</v>
      </c>
      <c r="D18" s="11" t="s">
        <v>221</v>
      </c>
      <c r="E18" s="11" t="s">
        <v>222</v>
      </c>
    </row>
    <row r="19" customFormat="false" ht="19.5" hidden="false" customHeight="true" outlineLevel="0" collapsed="false">
      <c r="B19" s="90" t="s">
        <v>223</v>
      </c>
      <c r="C19" s="91" t="s">
        <v>224</v>
      </c>
      <c r="D19" s="92" t="s">
        <v>225</v>
      </c>
      <c r="E19" s="93" t="s">
        <v>226</v>
      </c>
    </row>
    <row r="20" customFormat="false" ht="19.5" hidden="false" customHeight="true" outlineLevel="0" collapsed="false">
      <c r="B20" s="94" t="s">
        <v>227</v>
      </c>
      <c r="C20" s="95" t="s">
        <v>228</v>
      </c>
      <c r="D20" s="96" t="s">
        <v>229</v>
      </c>
      <c r="E20" s="97" t="s">
        <v>40</v>
      </c>
    </row>
    <row r="21" customFormat="false" ht="19.5" hidden="false" customHeight="true" outlineLevel="0" collapsed="false">
      <c r="B21" s="90" t="s">
        <v>230</v>
      </c>
      <c r="C21" s="91" t="s">
        <v>231</v>
      </c>
      <c r="D21" s="92" t="s">
        <v>226</v>
      </c>
      <c r="E21" s="93" t="s">
        <v>40</v>
      </c>
    </row>
    <row r="22" customFormat="false" ht="19.5" hidden="false" customHeight="true" outlineLevel="0" collapsed="false">
      <c r="B22" s="94" t="s">
        <v>232</v>
      </c>
      <c r="C22" s="95" t="s">
        <v>233</v>
      </c>
      <c r="D22" s="96" t="s">
        <v>234</v>
      </c>
      <c r="E22" s="97" t="s">
        <v>226</v>
      </c>
    </row>
    <row r="24" customFormat="false" ht="6" hidden="false" customHeight="true" outlineLevel="0" collapsed="false"/>
    <row r="25" customFormat="false" ht="18" hidden="false" customHeight="true" outlineLevel="0" collapsed="false">
      <c r="B25" s="51" t="s">
        <v>235</v>
      </c>
      <c r="C25" s="51"/>
      <c r="D25" s="51"/>
      <c r="E25" s="51"/>
      <c r="F25" s="51"/>
    </row>
    <row r="26" customFormat="false" ht="15.75" hidden="false" customHeight="true" outlineLevel="0" collapsed="false">
      <c r="B26" s="11" t="s">
        <v>236</v>
      </c>
      <c r="C26" s="11" t="s">
        <v>237</v>
      </c>
    </row>
    <row r="27" customFormat="false" ht="15.75" hidden="false" customHeight="true" outlineLevel="0" collapsed="false">
      <c r="B27" s="98" t="s">
        <v>238</v>
      </c>
      <c r="C27" s="99" t="s">
        <v>239</v>
      </c>
    </row>
    <row r="28" customFormat="false" ht="15.75" hidden="false" customHeight="true" outlineLevel="0" collapsed="false">
      <c r="B28" s="100" t="s">
        <v>240</v>
      </c>
      <c r="C28" s="101" t="s">
        <v>241</v>
      </c>
    </row>
    <row r="29" customFormat="false" ht="15.75" hidden="false" customHeight="true" outlineLevel="0" collapsed="false">
      <c r="B29" s="98" t="s">
        <v>242</v>
      </c>
      <c r="C29" s="99" t="s">
        <v>243</v>
      </c>
    </row>
    <row r="30" customFormat="false" ht="15.75" hidden="false" customHeight="true" outlineLevel="0" collapsed="false">
      <c r="B30" s="100" t="s">
        <v>244</v>
      </c>
      <c r="C30" s="101" t="s">
        <v>245</v>
      </c>
    </row>
    <row r="31" customFormat="false" ht="15.75" hidden="false" customHeight="true" outlineLevel="0" collapsed="false">
      <c r="B31" s="98" t="s">
        <v>246</v>
      </c>
      <c r="C31" s="99" t="s">
        <v>247</v>
      </c>
    </row>
    <row r="32" customFormat="false" ht="15.75" hidden="false" customHeight="true" outlineLevel="0" collapsed="false">
      <c r="B32" s="100" t="s">
        <v>248</v>
      </c>
      <c r="C32" s="101" t="s">
        <v>247</v>
      </c>
    </row>
  </sheetData>
  <mergeCells count="6">
    <mergeCell ref="B2:N2"/>
    <mergeCell ref="B4:D4"/>
    <mergeCell ref="B5:D5"/>
    <mergeCell ref="B8:H8"/>
    <mergeCell ref="B17:K17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C8A0"/>
    <pageSetUpPr fitToPage="false"/>
  </sheetPr>
  <dimension ref="A1:U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0" min="9" style="0" width="22"/>
    <col collapsed="false" customWidth="true" hidden="false" outlineLevel="0" max="11" min="11" style="0" width="10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5.5" hidden="false" customHeight="true" outlineLevel="0" collapsed="false">
      <c r="A2" s="1"/>
      <c r="B2" s="29" t="s">
        <v>249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  <c r="O2" s="1"/>
      <c r="P2" s="1"/>
      <c r="Q2" s="1"/>
      <c r="R2" s="1"/>
      <c r="S2" s="1"/>
      <c r="T2" s="1"/>
      <c r="U2" s="1"/>
    </row>
    <row r="3" customFormat="false" ht="6" hidden="false" customHeight="true" outlineLevel="0" collapsed="false"/>
    <row r="4" customFormat="false" ht="15.75" hidden="false" customHeight="true" outlineLevel="0" collapsed="false">
      <c r="B4" s="11" t="s">
        <v>250</v>
      </c>
      <c r="C4" s="11" t="s">
        <v>82</v>
      </c>
      <c r="D4" s="11" t="s">
        <v>251</v>
      </c>
      <c r="E4" s="11" t="s">
        <v>252</v>
      </c>
      <c r="F4" s="11" t="s">
        <v>253</v>
      </c>
      <c r="G4" s="11" t="s">
        <v>254</v>
      </c>
      <c r="H4" s="11" t="s">
        <v>255</v>
      </c>
      <c r="I4" s="11" t="s">
        <v>256</v>
      </c>
      <c r="J4" s="11" t="s">
        <v>257</v>
      </c>
      <c r="K4" s="11" t="s">
        <v>258</v>
      </c>
    </row>
    <row r="5" customFormat="false" ht="13.5" hidden="false" customHeight="true" outlineLevel="0" collapsed="false">
      <c r="B5" s="102" t="n">
        <v>1</v>
      </c>
      <c r="C5" s="54" t="s">
        <v>259</v>
      </c>
      <c r="D5" s="54" t="s">
        <v>260</v>
      </c>
      <c r="E5" s="102" t="s">
        <v>261</v>
      </c>
      <c r="F5" s="103" t="s">
        <v>87</v>
      </c>
      <c r="G5" s="103" t="s">
        <v>87</v>
      </c>
      <c r="H5" s="104" t="n">
        <v>450000</v>
      </c>
      <c r="I5" s="105" t="n">
        <v>130000</v>
      </c>
      <c r="J5" s="102" t="s">
        <v>87</v>
      </c>
      <c r="K5" s="106" t="s">
        <v>87</v>
      </c>
    </row>
    <row r="6" customFormat="false" ht="13.5" hidden="false" customHeight="true" outlineLevel="0" collapsed="false">
      <c r="B6" s="107" t="n">
        <v>2</v>
      </c>
      <c r="C6" s="58" t="s">
        <v>262</v>
      </c>
      <c r="D6" s="58" t="s">
        <v>263</v>
      </c>
      <c r="E6" s="107" t="s">
        <v>264</v>
      </c>
      <c r="F6" s="73" t="n">
        <v>280</v>
      </c>
      <c r="G6" s="73" t="n">
        <v>7377</v>
      </c>
      <c r="H6" s="108" t="n">
        <v>2065560</v>
      </c>
      <c r="I6" s="109" t="n">
        <v>129173</v>
      </c>
      <c r="J6" s="107" t="s">
        <v>265</v>
      </c>
      <c r="K6" s="110" t="n">
        <v>4</v>
      </c>
    </row>
    <row r="7" customFormat="false" ht="13.5" hidden="false" customHeight="true" outlineLevel="0" collapsed="false">
      <c r="B7" s="102" t="n">
        <v>3</v>
      </c>
      <c r="C7" s="54" t="s">
        <v>262</v>
      </c>
      <c r="D7" s="54" t="s">
        <v>266</v>
      </c>
      <c r="E7" s="102" t="s">
        <v>267</v>
      </c>
      <c r="F7" s="72" t="n">
        <v>88</v>
      </c>
      <c r="G7" s="72" t="n">
        <v>10000</v>
      </c>
      <c r="H7" s="104" t="n">
        <v>880000</v>
      </c>
      <c r="I7" s="105" t="n">
        <v>111614</v>
      </c>
      <c r="J7" s="102" t="s">
        <v>268</v>
      </c>
      <c r="K7" s="106" t="n">
        <v>2</v>
      </c>
    </row>
    <row r="8" customFormat="false" ht="13.5" hidden="false" customHeight="true" outlineLevel="0" collapsed="false">
      <c r="B8" s="107" t="n">
        <v>4</v>
      </c>
      <c r="C8" s="58" t="s">
        <v>259</v>
      </c>
      <c r="D8" s="58" t="s">
        <v>269</v>
      </c>
      <c r="E8" s="107" t="s">
        <v>270</v>
      </c>
      <c r="F8" s="111" t="s">
        <v>87</v>
      </c>
      <c r="G8" s="111" t="s">
        <v>87</v>
      </c>
      <c r="H8" s="108" t="n">
        <v>85000</v>
      </c>
      <c r="I8" s="109" t="n">
        <v>22000</v>
      </c>
      <c r="J8" s="107" t="s">
        <v>87</v>
      </c>
      <c r="K8" s="110" t="s">
        <v>87</v>
      </c>
    </row>
    <row r="9" customFormat="false" ht="13.5" hidden="false" customHeight="true" outlineLevel="0" collapsed="false">
      <c r="B9" s="102" t="n">
        <v>5</v>
      </c>
      <c r="C9" s="54" t="s">
        <v>259</v>
      </c>
      <c r="D9" s="54" t="s">
        <v>271</v>
      </c>
      <c r="E9" s="102" t="s">
        <v>272</v>
      </c>
      <c r="F9" s="103" t="s">
        <v>87</v>
      </c>
      <c r="G9" s="103" t="s">
        <v>87</v>
      </c>
      <c r="H9" s="104" t="n">
        <v>63000</v>
      </c>
      <c r="I9" s="105" t="n">
        <v>14000</v>
      </c>
      <c r="J9" s="102" t="s">
        <v>87</v>
      </c>
      <c r="K9" s="106" t="s">
        <v>87</v>
      </c>
    </row>
    <row r="10" customFormat="false" ht="15.75" hidden="false" customHeight="true" outlineLevel="0" collapsed="false">
      <c r="B10" s="69" t="s">
        <v>273</v>
      </c>
      <c r="H10" s="112" t="n">
        <f aca="false">SUM(H5:H9)</f>
        <v>3543560</v>
      </c>
    </row>
    <row r="11" customFormat="false" ht="15.75" hidden="false" customHeight="true" outlineLevel="0" collapsed="false">
      <c r="B11" s="69" t="s">
        <v>274</v>
      </c>
      <c r="H11" s="70" t="n">
        <f aca="false">H10/$C$35</f>
        <v>605736.752136752</v>
      </c>
    </row>
    <row r="13" customFormat="false" ht="6" hidden="false" customHeight="true" outlineLevel="0" collapsed="false"/>
    <row r="14" customFormat="false" ht="15" hidden="false" customHeight="true" outlineLevel="0" collapsed="false">
      <c r="B14" s="113" t="s">
        <v>275</v>
      </c>
      <c r="C14" s="113"/>
      <c r="D14" s="113"/>
      <c r="E14" s="113"/>
      <c r="F14" s="113"/>
      <c r="G14" s="113"/>
      <c r="H14" s="113"/>
      <c r="I14" s="113"/>
      <c r="J14" s="113"/>
      <c r="K14" s="113"/>
    </row>
    <row r="35" customFormat="false" ht="15" hidden="false" customHeight="false" outlineLevel="0" collapsed="false">
      <c r="B35" s="114" t="s">
        <v>276</v>
      </c>
      <c r="C35" s="115" t="n">
        <v>5.85</v>
      </c>
    </row>
  </sheetData>
  <mergeCells count="2">
    <mergeCell ref="B2:M2"/>
    <mergeCell ref="B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2026-03-16T01:41:29Z</dcterms:created>
  <dc:creator>openpyxl</dc:creator>
  <dc:description/>
  <dc:language>en-US</dc:language>
  <cp:lastModifiedBy/>
  <dcterms:modified xsi:type="dcterms:W3CDTF">2026-03-15T22:41:45Z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