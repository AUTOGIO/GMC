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300" tabRatio="500"/>
  </bookViews>
  <sheets>
    <sheet name="📊 Dashboard" sheetId="1" r:id="rId1"/>
    <sheet name="🥧 Asset Allocation" sheetId="2" r:id="rId2"/>
    <sheet name="🗂 Gavetas" sheetId="3" r:id="rId3"/>
    <sheet name="📋 Instruments" sheetId="4" r:id="rId4"/>
    <sheet name="📈 Equities VISA" sheetId="5" r:id="rId5"/>
    <sheet name="₿ Crypto CFM" sheetId="6" r:id="rId6"/>
    <sheet name="⚡ Regime &amp; Risk" sheetId="7" r:id="rId7"/>
    <sheet name="📡 Macro Context" sheetId="8" r:id="rId8"/>
    <sheet name="🏠 Real Estate B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<sst xmlns="http://schemas.openxmlformats.org/spreadsheetml/2006/main" count="619" uniqueCount="346">
  <si>
    <t>GIOVANNINI MARE CAPITAL</t>
  </si>
  <si>
    <t>GMC Convex Portfolio  ·  Q1 2026  ·  Defensive Convex Regime</t>
  </si>
  <si>
    <t>As of: March 19, 2026   |   Base Currency: USD   |   Owner: Single Family Office</t>
  </si>
  <si>
    <t>KEY METRICS</t>
  </si>
  <si>
    <t>TOTAL PORTFOLIO (USD)</t>
  </si>
  <si>
    <t>LIQUID CAPITAL (USD)</t>
  </si>
  <si>
    <t>$1,646,000</t>
  </si>
  <si>
    <t>$460,000</t>
  </si>
  <si>
    <t>Real estate + liquid</t>
  </si>
  <si>
    <t>IBKR + Physical Gold</t>
  </si>
  <si>
    <t>MACRO REGIME</t>
  </si>
  <si>
    <t>STRATEGY STYLE</t>
  </si>
  <si>
    <t>Carry Favorable · BRL</t>
  </si>
  <si>
    <t>Macro Driven / Regime Aware</t>
  </si>
  <si>
    <t>SELIC 14.75% vs Fed 3.64% · Spread +11.11pp</t>
  </si>
  <si>
    <t>Convex asymmetry</t>
  </si>
  <si>
    <t>CURRENT PORTFOLIO SNAPSHOT</t>
  </si>
  <si>
    <t>Asset</t>
  </si>
  <si>
    <t>Value (USD)</t>
  </si>
  <si>
    <t>Gaveta</t>
  </si>
  <si>
    <t>Role</t>
  </si>
  <si>
    <t>Signal</t>
  </si>
  <si>
    <t>Real Estate (Brazil)</t>
  </si>
  <si>
    <t>Tactical Brazil</t>
  </si>
  <si>
    <t>Illiquid duration</t>
  </si>
  <si>
    <t>Structural hold; underweight tactically</t>
  </si>
  <si>
    <t>📊 Monitor Campinas →</t>
  </si>
  <si>
    <t>Cash (IBKR)</t>
  </si>
  <si>
    <t>Preservation</t>
  </si>
  <si>
    <t>Liquidity reserve</t>
  </si>
  <si>
    <t>Deploy per optimization</t>
  </si>
  <si>
    <t>Physical Gold (3.2 oz)</t>
  </si>
  <si>
    <t>Anti-fragile reserve</t>
  </si>
  <si>
    <t>Hold; geo hedge intact</t>
  </si>
  <si>
    <t>TOTAL</t>
  </si>
  <si>
    <t>CONVEX USD SLEEVE — TARGET ALLOCATION</t>
  </si>
  <si>
    <t>Asset Class</t>
  </si>
  <si>
    <t>Target %</t>
  </si>
  <si>
    <t>Amount (USD)</t>
  </si>
  <si>
    <t>Min %</t>
  </si>
  <si>
    <t>Max %</t>
  </si>
  <si>
    <t>Cash</t>
  </si>
  <si>
    <t>Liquidity &amp; optionality reserve</t>
  </si>
  <si>
    <t>Bonds</t>
  </si>
  <si>
    <t>Risk-off ballast &amp; yield capture</t>
  </si>
  <si>
    <t>Gold</t>
  </si>
  <si>
    <t>Anti-fragile / debasement hedge</t>
  </si>
  <si>
    <t>Equities</t>
  </si>
  <si>
    <t>Selective global growth exposure</t>
  </si>
  <si>
    <t>Bitcoin</t>
  </si>
  <si>
    <t>Convex asymmetric optionality</t>
  </si>
  <si>
    <t>ASSET ALLOCATION — GMC CONVEX PORTFOLIO</t>
  </si>
  <si>
    <t>Target Weight</t>
  </si>
  <si>
    <t>Min Weight</t>
  </si>
  <si>
    <t>Max Weight</t>
  </si>
  <si>
    <t>Volatility</t>
  </si>
  <si>
    <t>Liquidity</t>
  </si>
  <si>
    <t>Very Low</t>
  </si>
  <si>
    <t>Immediate</t>
  </si>
  <si>
    <t>Low</t>
  </si>
  <si>
    <t>High</t>
  </si>
  <si>
    <t>Medium</t>
  </si>
  <si>
    <t>Medium-Hi</t>
  </si>
  <si>
    <t>Weight %</t>
  </si>
  <si>
    <t>GAVETAS — OPTIMIZED ALLOCATION  ·  US$460,000</t>
  </si>
  <si>
    <t>Allocation (USD)</t>
  </si>
  <si>
    <t>Rationale</t>
  </si>
  <si>
    <t>Preservation &amp; Optionality</t>
  </si>
  <si>
    <t>Anchor resilience; cash as default, or TFLO for yield without fragility.</t>
  </si>
  <si>
    <t>Convex Growth: Equities (VISA)</t>
  </si>
  <si>
    <t>Mid-term global exposure; outperforms benchmarks on &gt;1-year horizon.</t>
  </si>
  <si>
    <t>Convex Growth: Crypto (CFM)</t>
  </si>
  <si>
    <t>Defensive BTC focus; fragility stable—aportes window open.</t>
  </si>
  <si>
    <t>No new exposure; BRL weakness signals underweight.</t>
  </si>
  <si>
    <t>IMPLEMENTATION NOTES</t>
  </si>
  <si>
    <t>• Use IBKR's TWS or Client Portal for all trades.</t>
  </si>
  <si>
    <t>• For crypto: Enable permissions via Settings &gt; Trading &gt; Trading Permissions.</t>
  </si>
  <si>
    <t>• Taxes/Succession: Favor UCITS ETFs where beneficial.</t>
  </si>
  <si>
    <t>• Horizon: Multi-cycle; tolerate volatility for convex payoffs.</t>
  </si>
  <si>
    <t>USD ($)</t>
  </si>
  <si>
    <t>ALL INSTRUMENTS — FULL INSTRUMENT TABLE</t>
  </si>
  <si>
    <t>Ticker</t>
  </si>
  <si>
    <t>Name</t>
  </si>
  <si>
    <t>Type</t>
  </si>
  <si>
    <t>Custodian</t>
  </si>
  <si>
    <t>Currency</t>
  </si>
  <si>
    <t>Status</t>
  </si>
  <si>
    <t>Notes</t>
  </si>
  <si>
    <t>—</t>
  </si>
  <si>
    <t>USD Bank Cash</t>
  </si>
  <si>
    <t>cash</t>
  </si>
  <si>
    <t>bank</t>
  </si>
  <si>
    <t>USD</t>
  </si>
  <si>
    <t>planned</t>
  </si>
  <si>
    <t>Immediate liquidity reserve.</t>
  </si>
  <si>
    <t>TFLO</t>
  </si>
  <si>
    <t>iShares Treasury Floating Rate</t>
  </si>
  <si>
    <t>etf</t>
  </si>
  <si>
    <t>brokerage</t>
  </si>
  <si>
    <t>Ultra-short Treasury parking sleeve.</t>
  </si>
  <si>
    <t>IEF</t>
  </si>
  <si>
    <t>iShares 7-10Y Treasury Bond ETF</t>
  </si>
  <si>
    <t>Intermediate duration exposure.</t>
  </si>
  <si>
    <t>TLT</t>
  </si>
  <si>
    <t>iShares 20+ Year Treasury ETF</t>
  </si>
  <si>
    <t>Long duration convex sleeve.</t>
  </si>
  <si>
    <t>GLDM</t>
  </si>
  <si>
    <t>SPDR Gold MiniShares Trust</t>
  </si>
  <si>
    <t>Liquid gold proxy.</t>
  </si>
  <si>
    <t>GDX</t>
  </si>
  <si>
    <t>VanEck Gold Miners ETF</t>
  </si>
  <si>
    <t>Gold miners for geo premium leverage.</t>
  </si>
  <si>
    <t>Liquidity buffer within equities.</t>
  </si>
  <si>
    <t>EWZ</t>
  </si>
  <si>
    <t>iShares MSCI Brazil ETF</t>
  </si>
  <si>
    <t>Tactical EM exposure.</t>
  </si>
  <si>
    <t>SPY</t>
  </si>
  <si>
    <t>SPDR S&amp;P 500 ETF Trust</t>
  </si>
  <si>
    <t>Core US growth.</t>
  </si>
  <si>
    <t>Geo hedge.</t>
  </si>
  <si>
    <t>XLU</t>
  </si>
  <si>
    <t>Utilities Select Sector SPDR</t>
  </si>
  <si>
    <t>Defensive sector.</t>
  </si>
  <si>
    <t>VXX</t>
  </si>
  <si>
    <t>iPath S&amp;P 500 VIX Short-Term ETN</t>
  </si>
  <si>
    <t>etn</t>
  </si>
  <si>
    <t>Convex hedge against drawdowns.</t>
  </si>
  <si>
    <t>FXI</t>
  </si>
  <si>
    <t>iShares China Large-Cap ETF</t>
  </si>
  <si>
    <t>China recovery play.</t>
  </si>
  <si>
    <t>EWH</t>
  </si>
  <si>
    <t>iShares MSCI Hong Kong ETF</t>
  </si>
  <si>
    <t>China proxy.</t>
  </si>
  <si>
    <t>BABA</t>
  </si>
  <si>
    <t>Alibaba Group Holding ADR</t>
  </si>
  <si>
    <t>adr</t>
  </si>
  <si>
    <t>China tech recovery.</t>
  </si>
  <si>
    <t>BIDU</t>
  </si>
  <si>
    <t>Baidu Inc ADR</t>
  </si>
  <si>
    <t>China AI/search.</t>
  </si>
  <si>
    <t>MSTR</t>
  </si>
  <si>
    <t>MicroStrategy Inc</t>
  </si>
  <si>
    <t>stock</t>
  </si>
  <si>
    <t>BTC proxy; leveraged.</t>
  </si>
  <si>
    <t>RIOT</t>
  </si>
  <si>
    <t>Riot Platforms Inc</t>
  </si>
  <si>
    <t>BTC mining efficiency.</t>
  </si>
  <si>
    <t>CLSK</t>
  </si>
  <si>
    <t>CleanSpark Inc</t>
  </si>
  <si>
    <t>Green BTC mining.</t>
  </si>
  <si>
    <t>COIN</t>
  </si>
  <si>
    <t>Coinbase Global Inc</t>
  </si>
  <si>
    <t>Crypto exchange.</t>
  </si>
  <si>
    <t>TSLA</t>
  </si>
  <si>
    <t>Tesla Inc</t>
  </si>
  <si>
    <t>EV/IA growth.</t>
  </si>
  <si>
    <t>BTC</t>
  </si>
  <si>
    <t>Bitcoin Spot</t>
  </si>
  <si>
    <t>digital_asset</t>
  </si>
  <si>
    <t>Direct BTC ownership; core reserve.</t>
  </si>
  <si>
    <t>ETH</t>
  </si>
  <si>
    <t>Ethereum Spot</t>
  </si>
  <si>
    <t>Scaling layer; quantum resilience.</t>
  </si>
  <si>
    <t>LTC</t>
  </si>
  <si>
    <t>Litecoin Spot</t>
  </si>
  <si>
    <t>Payment efficiency.</t>
  </si>
  <si>
    <t>LINK</t>
  </si>
  <si>
    <t>Chainlink Spot</t>
  </si>
  <si>
    <t>Oracles; ecosystem convexity.</t>
  </si>
  <si>
    <t>EQUITIES COMPOSITION  ·  VISA AÇÕES  ·  US$138,000</t>
  </si>
  <si>
    <t>Description</t>
  </si>
  <si>
    <t>Approx Shares</t>
  </si>
  <si>
    <t>Alloc USD</t>
  </si>
  <si>
    <t>Cash Equivalent ETF</t>
  </si>
  <si>
    <t>Liquidity buffer; rebalancing tool.</t>
  </si>
  <si>
    <t>Brazil ETF</t>
  </si>
  <si>
    <t>Tactical EM; opportunistic only.</t>
  </si>
  <si>
    <t>S&amp;P 500 ETF</t>
  </si>
  <si>
    <t>Core US growth; secular tech/IA tailwinds.</t>
  </si>
  <si>
    <t>Gold Miners ETF</t>
  </si>
  <si>
    <t>Geo hedge; supports gold premium on Iran risks.</t>
  </si>
  <si>
    <t>Utilities ETF</t>
  </si>
  <si>
    <t>Defensive sector; duration-like stability.</t>
  </si>
  <si>
    <t>Volatility ETN</t>
  </si>
  <si>
    <t>Convex drawdown hedge.</t>
  </si>
  <si>
    <t>China Large-Cap ETF</t>
  </si>
  <si>
    <t>China recovery play; new bull wave imminent.</t>
  </si>
  <si>
    <t>Hong Kong ETF</t>
  </si>
  <si>
    <t>China proxy; undervalued asymmetry.</t>
  </si>
  <si>
    <t>Alibaba ADR</t>
  </si>
  <si>
    <t>Baidu ADR</t>
  </si>
  <si>
    <t>China AI/search; undervalued.</t>
  </si>
  <si>
    <t>MicroStrategy</t>
  </si>
  <si>
    <t>Riot Platforms</t>
  </si>
  <si>
    <t>CleanSpark</t>
  </si>
  <si>
    <t>Coinbase</t>
  </si>
  <si>
    <t>Crypto ecosystem.</t>
  </si>
  <si>
    <t>Tesla</t>
  </si>
  <si>
    <t>NOTES</t>
  </si>
  <si>
    <t>• Assumed prices based on March 2026 estimates; execute at current quotes.</t>
  </si>
  <si>
    <t>• Alternatives: CSPX for SPY, FLOA for TFLO.</t>
  </si>
  <si>
    <t>• Performance: +333% BRL since 2019; convex from dólar-real, metals, BTC/China.</t>
  </si>
  <si>
    <t>CRYPTO COMPOSITION  ·  CFM  ·  US$46,000 (ADJUSTED)</t>
  </si>
  <si>
    <t>Coin</t>
  </si>
  <si>
    <t>Adj. Weight %</t>
  </si>
  <si>
    <t>Approx Qty</t>
  </si>
  <si>
    <t>Reserve asset; positive macro regime.</t>
  </si>
  <si>
    <t>Ethereum</t>
  </si>
  <si>
    <t>Scaling layer; quantum-resilient.</t>
  </si>
  <si>
    <t>Litecoin</t>
  </si>
  <si>
    <t>Payment efficiency; low fragility.</t>
  </si>
  <si>
    <t>Chainlink</t>
  </si>
  <si>
    <t>• Assumed prices for illustration; trade at current market prices.</t>
  </si>
  <si>
    <t>• Adjusted for IBKR spot availability; unsupported alts skipped.</t>
  </si>
  <si>
    <t>• Performance: +2,404% BRL since 2018; CAGR ~50% p.a.</t>
  </si>
  <si>
    <t>REGIME ENGINE  ·  STRESS SCENARIOS  ·  RISK FRAMEWORK</t>
  </si>
  <si>
    <t>CURRENT REGIME</t>
  </si>
  <si>
    <t>Defensive Convex</t>
  </si>
  <si>
    <t>Carry Signal: BRL Favorable</t>
  </si>
  <si>
    <t>+11.11pp spread (SELIC−Fed)</t>
  </si>
  <si>
    <t>REGIME TARGET WEIGHTS BY ASSET CLASS</t>
  </si>
  <si>
    <t>Liquidity Crisis</t>
  </si>
  <si>
    <t>Expansion</t>
  </si>
  <si>
    <t>STRESS SCENARIOS</t>
  </si>
  <si>
    <t>Scenario</t>
  </si>
  <si>
    <t>Winners</t>
  </si>
  <si>
    <t>Losers</t>
  </si>
  <si>
    <t>USD Liquidity Crunch</t>
  </si>
  <si>
    <t>Dollar shortage, rising DXY, widening risk spreads</t>
  </si>
  <si>
    <t>Cash, Bonds, Gold</t>
  </si>
  <si>
    <t>Equities, Bitcoin</t>
  </si>
  <si>
    <t>Monetary Debasement</t>
  </si>
  <si>
    <t>Renewed monetization and weakening fiat credibility</t>
  </si>
  <si>
    <t>Gold, Bitcoin</t>
  </si>
  <si>
    <t>Global Risk-On</t>
  </si>
  <si>
    <t>Falling volatility and broad liquidity expansion</t>
  </si>
  <si>
    <t>Geopolitical Escalation</t>
  </si>
  <si>
    <t>Commodity shock and cross-asset risk aversion</t>
  </si>
  <si>
    <t>Gold, Cash, Long Bonds</t>
  </si>
  <si>
    <t>PORTFOLIO RISK CONSTRAINTS</t>
  </si>
  <si>
    <t>Constraint</t>
  </si>
  <si>
    <t>Limit</t>
  </si>
  <si>
    <t>Max Single Instrument Weight</t>
  </si>
  <si>
    <t>15%</t>
  </si>
  <si>
    <t>Max High-Volatility Bucket</t>
  </si>
  <si>
    <t>40%</t>
  </si>
  <si>
    <t>Min Liquid Assets</t>
  </si>
  <si>
    <t>50%</t>
  </si>
  <si>
    <t>Min USD-Denominated Assets</t>
  </si>
  <si>
    <t>70%</t>
  </si>
  <si>
    <t>Leverage Allowed</t>
  </si>
  <si>
    <t>No</t>
  </si>
  <si>
    <t>Illiquid Private Assets</t>
  </si>
  <si>
    <t>MACRO CONTEXT  ·  LIVE SIGNALS</t>
  </si>
  <si>
    <t>Brazil + Global · BCB SGS · FRED · ECB SDW</t>
  </si>
  <si>
    <t>As of: March 19, 2026   |   Auto-refreshed every 4h via LaunchAgent</t>
  </si>
  <si>
    <t>Data sources: BCB SGS API · FRED (St. Louis Fed) · ECB SDW</t>
  </si>
  <si>
    <t>BRAZIL — BCB SGS</t>
  </si>
  <si>
    <t>Indicator</t>
  </si>
  <si>
    <t>Value</t>
  </si>
  <si>
    <t>Period</t>
  </si>
  <si>
    <t>Source</t>
  </si>
  <si>
    <t>SELIC Rate</t>
  </si>
  <si>
    <t>Apr 29, 2026</t>
  </si>
  <si>
    <t>BCB SGS series 432</t>
  </si>
  <si>
    <t>IPCA 12m (Inflation)</t>
  </si>
  <si>
    <t>Feb 01, 2026</t>
  </si>
  <si>
    <t>BCB SGS series 13522</t>
  </si>
  <si>
    <t>USD/BRL PTAX</t>
  </si>
  <si>
    <t>Mar 18, 2026</t>
  </si>
  <si>
    <t>BCB SGS series 1</t>
  </si>
  <si>
    <t>Unemployment (BR)</t>
  </si>
  <si>
    <t>Jan 01, 2026</t>
  </si>
  <si>
    <t>BCB SGS series 24369</t>
  </si>
  <si>
    <t>INTERNATIONAL — FRED (St. Louis Fed)</t>
  </si>
  <si>
    <t>Fed Funds Rate</t>
  </si>
  <si>
    <t>FRED FEDFUNDS</t>
  </si>
  <si>
    <t>US CPI YoY</t>
  </si>
  <si>
    <t>Apr 01, 2025</t>
  </si>
  <si>
    <t>FRED CPALTT01USM659N</t>
  </si>
  <si>
    <t>US Unemployment</t>
  </si>
  <si>
    <t>FRED UNRATE</t>
  </si>
  <si>
    <t>EUROPE — ECB SDW (cached / intermittent)</t>
  </si>
  <si>
    <t>ECB Deposit Facility Rate</t>
  </si>
  <si>
    <t>Cached / N/A</t>
  </si>
  <si>
    <t>ECB SDW FM/B.U2.EUR.4F.KR.DFR.LEV</t>
  </si>
  <si>
    <t>EUR/USD</t>
  </si>
  <si>
    <t>ECB SDW EXR/D.USD.EUR.SP00.A</t>
  </si>
  <si>
    <t>USD/JPY</t>
  </si>
  <si>
    <t>ECB SDW EXR/D.JPY.EUR.SP00.A (cross)</t>
  </si>
  <si>
    <t>DERIVED SIGNALS</t>
  </si>
  <si>
    <t>Formula</t>
  </si>
  <si>
    <t>Interpretation</t>
  </si>
  <si>
    <t>Carry Spread (SELIC − Fed)</t>
  </si>
  <si>
    <t>+11.11pp</t>
  </si>
  <si>
    <t>SELIC % − Fed Funds %</t>
  </si>
  <si>
    <t>BRL carry highly attractive vs USD; +11.11pp in favor of BRL assets</t>
  </si>
  <si>
    <t>Inflation Differential</t>
  </si>
  <si>
    <t>+1.50pp</t>
  </si>
  <si>
    <t>IPCA YoY % − US CPI %</t>
  </si>
  <si>
    <t>Brazil inflation 1.50pp above US CPI; moderate differential</t>
  </si>
  <si>
    <t>Regime Signal</t>
  </si>
  <si>
    <t>Selic&gt;Fed</t>
  </si>
  <si>
    <t>Hold BRL-denominated assets; offshore carry trade opportunity</t>
  </si>
  <si>
    <t>EXCHANGE RATE INPUT  ·  editable hardcoded input → feeds Real Estate USD calc</t>
  </si>
  <si>
    <t>USD/BRL Rate</t>
  </si>
  <si>
    <t>BCB PTAX · 2026-03-18</t>
  </si>
  <si>
    <t>Source: BCB OData PTAX series, updated daily at ~13:00 BRT</t>
  </si>
  <si>
    <t>LEGEND</t>
  </si>
  <si>
    <t>Blue text = hardcoded input (editable)</t>
  </si>
  <si>
    <t>Green text = link to other sheet</t>
  </si>
  <si>
    <t>— = API unavailable, using cached or N/A</t>
  </si>
  <si>
    <t>Black text = formula / calculated</t>
  </si>
  <si>
    <t xml:space="preserve"> </t>
  </si>
  <si>
    <t>REAL ESTATE INVENTORY  ·  BRAZIL  ·  ~R$ 3.54M  /  ~US$680K @ live PTAX</t>
  </si>
  <si>
    <t>#</t>
  </si>
  <si>
    <t>Address</t>
  </si>
  <si>
    <t>CEP</t>
  </si>
  <si>
    <t>Area (m²)</t>
  </si>
  <si>
    <t>R$/m²</t>
  </si>
  <si>
    <t>Market Value (BRL)</t>
  </si>
  <si>
    <t>Tax Assessment (BRL)</t>
  </si>
  <si>
    <t>Building</t>
  </si>
  <si>
    <t>Garages</t>
  </si>
  <si>
    <t>Terreno</t>
  </si>
  <si>
    <t>Loteamento Paraná Regina, SN, Nova Veneza</t>
  </si>
  <si>
    <t>13183-513</t>
  </si>
  <si>
    <t>Apartamento</t>
  </si>
  <si>
    <t>Rua Buarque de Macedo, 635, Vila Nova, Campinas</t>
  </si>
  <si>
    <t>13073-018</t>
  </si>
  <si>
    <t>Edifício Populus</t>
  </si>
  <si>
    <t>Rua Dr. Pedro Zimmermann, 840, Ap. 152, Campinas</t>
  </si>
  <si>
    <t>13083-040</t>
  </si>
  <si>
    <t>Edifício Magnolia</t>
  </si>
  <si>
    <t>Av. dos Bandeirantes, Lote 2, Charqueada</t>
  </si>
  <si>
    <t>13260-000</t>
  </si>
  <si>
    <t>Rua Getúlio Vargas, SN, Lote 12, Pirapora do Bom Jesus</t>
  </si>
  <si>
    <t>06725-000</t>
  </si>
  <si>
    <t>TOTAL MARKET VALUE</t>
  </si>
  <si>
    <t>TOTAL (USD equiv.)</t>
  </si>
  <si>
    <t>Note: Market values shown in BRL. USD equivalent computed using the exchange rate in cell C35 (editable). Blue cell = hardcoded input.</t>
  </si>
  <si>
    <t>📊  MARKET MONITOR — CAMPINAS/SP</t>
  </si>
  <si>
    <t>→  Abrir Monitor: Preço/m² · MPI · Alertas · Séries históricas (Campinas/SP)</t>
  </si>
  <si>
    <t>Fontes: ZAP/VivaReal · FIPE ZAP+ · ABECIP IGMI-R  |  Granularidade: CEP + Bairro  |  Atualização semanal</t>
  </si>
  <si>
    <t>USD/BRL Exchange Rate:</t>
  </si>
  <si>
    <t>Source: BCB PTAX OData, 2026-03-18 (series 1, USD/BRL closing rate)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</si>
</sst>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R$ &quot;#,##0"/>
    <numFmt numFmtId="177" formatCode="&quot;$&quot;#,##0"/>
    <numFmt numFmtId="178" formatCode="0.0000"/>
    <numFmt numFmtId="179" formatCode="0.0%"/>
    <numFmt numFmtId="180" formatCode="#,##0.000"/>
  </numFmts>
  <fonts count="77">
    <font>
      <sz val="11"/>
      <color theme="1"/>
      <name val="Calibri"/>
      <charset val="1"/>
    </font>
    <font>
      <b/>
      <sz val="14"/>
      <color rgb="FFC0C0C0"/>
      <name val="Arial"/>
      <charset val="1"/>
    </font>
    <font>
      <b/>
      <sz val="9"/>
      <color rgb="FF0A0A0F"/>
      <name val="Arial"/>
      <charset val="1"/>
    </font>
    <font>
      <sz val="9"/>
      <color rgb="FF94A3B8"/>
      <name val="Arial"/>
      <charset val="1"/>
    </font>
    <font>
      <sz val="9"/>
      <color rgb="FFF8FAFC"/>
      <name val="Arial"/>
      <charset val="1"/>
    </font>
    <font>
      <b/>
      <sz val="9"/>
      <color rgb="FFC0C0C0"/>
      <name val="Arial"/>
      <charset val="1"/>
    </font>
    <font>
      <sz val="8"/>
      <color rgb="FF94A3B8"/>
      <name val="Arial"/>
      <charset val="1"/>
    </font>
    <font>
      <b/>
      <sz val="10"/>
      <color rgb="FF4F8EF7"/>
      <name val="Arial"/>
      <charset val="134"/>
    </font>
    <font>
      <u/>
      <sz val="10"/>
      <color rgb="FF7AB8FF"/>
      <name val="Arial"/>
      <charset val="134"/>
    </font>
    <font>
      <i/>
      <sz val="9"/>
      <color rgb="FF4A4E52"/>
      <name val="Arial"/>
      <charset val="134"/>
    </font>
    <font>
      <b/>
      <sz val="10"/>
      <color rgb="FF0000FF"/>
      <name val="Arial"/>
      <charset val="1"/>
    </font>
    <font>
      <sz val="8"/>
      <color rgb="FF4A4E52"/>
      <name val="Arial"/>
      <charset val="1"/>
    </font>
    <font>
      <sz val="9"/>
      <color rgb="FFD0FF00"/>
      <name val="Arial"/>
      <charset val="1"/>
    </font>
    <font>
      <b/>
      <sz val="9"/>
      <color rgb="FFD0FF00"/>
      <name val="Arial"/>
      <charset val="1"/>
    </font>
    <font>
      <sz val="10"/>
      <color rgb="FF94A3B8"/>
      <name val="Arial"/>
      <charset val="1"/>
    </font>
    <font>
      <b/>
      <sz val="10"/>
      <color rgb="FFC0C0C0"/>
      <name val="Arial"/>
      <charset val="1"/>
    </font>
    <font>
      <b/>
      <sz val="8"/>
      <color rgb="FF0A0A0F"/>
      <name val="Arial"/>
      <charset val="1"/>
    </font>
    <font>
      <b/>
      <sz val="11"/>
      <color rgb="FFD0FF00"/>
      <name val="Arial"/>
      <charset val="1"/>
    </font>
    <font>
      <b/>
      <sz val="11"/>
      <color rgb="FFFBBF24"/>
      <name val="Arial"/>
      <charset val="1"/>
    </font>
    <font>
      <b/>
      <sz val="11"/>
      <color rgb="FF4A90D9"/>
      <name val="Arial"/>
      <charset val="1"/>
    </font>
    <font>
      <b/>
      <sz val="11"/>
      <color rgb="FFF8FAFC"/>
      <name val="Arial"/>
      <charset val="1"/>
    </font>
    <font>
      <b/>
      <sz val="10"/>
      <color rgb="FF94A3B8"/>
      <name val="Arial"/>
      <charset val="1"/>
    </font>
    <font>
      <b/>
      <sz val="11"/>
      <color rgb="FF4A4E52"/>
      <name val="Arial"/>
      <charset val="1"/>
    </font>
    <font>
      <b/>
      <sz val="11"/>
      <color rgb="FF22C55E"/>
      <name val="Arial"/>
      <charset val="1"/>
    </font>
    <font>
      <b/>
      <sz val="9"/>
      <color rgb="FF94A3B8"/>
      <name val="Arial"/>
      <charset val="1"/>
    </font>
    <font>
      <b/>
      <sz val="12"/>
      <color rgb="FF0000FF"/>
      <name val="Arial"/>
      <charset val="1"/>
    </font>
    <font>
      <b/>
      <sz val="8"/>
      <color rgb="FF94A3B8"/>
      <name val="Arial"/>
      <charset val="1"/>
    </font>
    <font>
      <sz val="8"/>
      <color rgb="FF0000FF"/>
      <name val="Arial"/>
      <charset val="1"/>
    </font>
    <font>
      <sz val="8"/>
      <color rgb="FF008000"/>
      <name val="Arial"/>
      <charset val="1"/>
    </font>
    <font>
      <sz val="8"/>
      <color rgb="FF000000"/>
      <name val="Arial"/>
      <charset val="1"/>
    </font>
    <font>
      <b/>
      <sz val="16"/>
      <color rgb="FFD0FF00"/>
      <name val="Arial"/>
      <charset val="1"/>
    </font>
    <font>
      <b/>
      <sz val="9"/>
      <color rgb="FF4A90D9"/>
      <name val="Arial"/>
      <charset val="1"/>
    </font>
    <font>
      <b/>
      <sz val="9"/>
      <color rgb="FF5AC8A0"/>
      <name val="Arial"/>
      <charset val="1"/>
    </font>
    <font>
      <b/>
      <sz val="9"/>
      <color rgb="FFF5C842"/>
      <name val="Arial"/>
      <charset val="1"/>
    </font>
    <font>
      <b/>
      <sz val="9"/>
      <color rgb="FF8B5CF6"/>
      <name val="Arial"/>
      <charset val="1"/>
    </font>
    <font>
      <b/>
      <sz val="9"/>
      <color rgb="FFF97316"/>
      <name val="Arial"/>
      <charset val="1"/>
    </font>
    <font>
      <sz val="9"/>
      <color rgb="FF5AC8A0"/>
      <name val="Arial"/>
      <charset val="1"/>
    </font>
    <font>
      <b/>
      <sz val="8"/>
      <color rgb="FFF8FAFC"/>
      <name val="Arial"/>
      <charset val="1"/>
    </font>
    <font>
      <sz val="9"/>
      <color rgb="FFF97316"/>
      <name val="Arial"/>
      <charset val="1"/>
    </font>
    <font>
      <b/>
      <sz val="10"/>
      <color rgb="FFF97316"/>
      <name val="Arial"/>
      <charset val="1"/>
    </font>
    <font>
      <sz val="10"/>
      <color rgb="FFF8FAFC"/>
      <name val="Arial"/>
      <charset val="1"/>
    </font>
    <font>
      <b/>
      <sz val="10"/>
      <color rgb="FF8B5CF6"/>
      <name val="Arial"/>
      <charset val="1"/>
    </font>
    <font>
      <b/>
      <sz val="10"/>
      <color rgb="FF9CA3AF"/>
      <name val="Arial"/>
      <charset val="1"/>
    </font>
    <font>
      <b/>
      <sz val="10"/>
      <color rgb="FF4A90D9"/>
      <name val="Arial"/>
      <charset val="1"/>
    </font>
    <font>
      <b/>
      <sz val="10"/>
      <color rgb="FFD0FF00"/>
      <name val="Arial"/>
      <charset val="1"/>
    </font>
    <font>
      <sz val="10"/>
      <color rgb="FFD0FF00"/>
      <name val="Arial"/>
      <charset val="1"/>
    </font>
    <font>
      <b/>
      <sz val="10"/>
      <color rgb="FF0A0A0F"/>
      <name val="Arial"/>
      <charset val="1"/>
    </font>
    <font>
      <b/>
      <sz val="10"/>
      <color rgb="FF5AC8A0"/>
      <name val="Arial"/>
      <charset val="1"/>
    </font>
    <font>
      <b/>
      <sz val="9"/>
      <color rgb="FFF8FAFC"/>
      <name val="Arial"/>
      <charset val="1"/>
    </font>
    <font>
      <b/>
      <sz val="10"/>
      <color rgb="FFF5C842"/>
      <name val="Arial"/>
      <charset val="1"/>
    </font>
    <font>
      <b/>
      <sz val="20"/>
      <color rgb="FFC0C0C0"/>
      <name val="Arial"/>
      <charset val="1"/>
    </font>
    <font>
      <sz val="11"/>
      <color rgb="FF94A3B8"/>
      <name val="Arial"/>
      <charset val="1"/>
    </font>
    <font>
      <sz val="9"/>
      <color rgb="FF4A4E52"/>
      <name val="Arial"/>
      <charset val="1"/>
    </font>
    <font>
      <b/>
      <sz val="14"/>
      <color rgb="FFD0FF00"/>
      <name val="Arial"/>
      <charset val="1"/>
    </font>
    <font>
      <b/>
      <sz val="14"/>
      <color rgb="FF4A90D9"/>
      <name val="Arial"/>
      <charset val="1"/>
    </font>
    <font>
      <b/>
      <u/>
      <sz val="9"/>
      <color rgb="FF7AB8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A0A0F"/>
        <bgColor rgb="FF0E1016"/>
      </patternFill>
    </fill>
    <fill>
      <patternFill patternType="solid">
        <fgColor rgb="FFC0C0C0"/>
        <bgColor rgb="FFD9D9D9"/>
      </patternFill>
    </fill>
    <fill>
      <patternFill patternType="solid">
        <fgColor rgb="FF12141A"/>
        <bgColor rgb="FF0E1016"/>
      </patternFill>
    </fill>
    <fill>
      <patternFill patternType="solid">
        <fgColor rgb="FF0E1016"/>
        <bgColor rgb="FF12141A"/>
      </patternFill>
    </fill>
    <fill>
      <patternFill patternType="solid">
        <fgColor rgb="FF1A1D25"/>
        <bgColor rgb="FF1A2030"/>
      </patternFill>
    </fill>
    <fill>
      <patternFill patternType="solid">
        <fgColor rgb="FF0D1529"/>
        <bgColor indexed="64"/>
      </patternFill>
    </fill>
    <fill>
      <patternFill patternType="solid">
        <fgColor rgb="FFFFF9C4"/>
        <bgColor rgb="FFFFFF99"/>
      </patternFill>
    </fill>
    <fill>
      <patternFill patternType="solid">
        <fgColor rgb="FF1A2030"/>
        <bgColor rgb="FF1A1D25"/>
      </patternFill>
    </fill>
    <fill>
      <patternFill patternType="solid">
        <fgColor rgb="FFF8FAFC"/>
        <bgColor rgb="FFF9F9F9"/>
      </patternFill>
    </fill>
    <fill>
      <patternFill patternType="solid">
        <fgColor rgb="FF0A0A0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2A2D35"/>
      </left>
      <right style="thin">
        <color rgb="FF2A2D35"/>
      </right>
      <top style="thin">
        <color rgb="FF2A2D35"/>
      </top>
      <bottom style="thin">
        <color rgb="FF2A2D35"/>
      </bottom>
      <diagonal/>
    </border>
    <border>
      <left/>
      <right/>
      <top/>
      <bottom style="thin">
        <color rgb="FF2E334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6" fillId="0" borderId="0"/>
    <xf numFmtId="44" fontId="56" fillId="0" borderId="0"/>
    <xf numFmtId="9" fontId="56" fillId="0" borderId="0"/>
    <xf numFmtId="41" fontId="56" fillId="0" borderId="0"/>
    <xf numFmtId="42" fontId="56" fillId="0" borderId="0"/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12" borderId="3" applyNumberFormat="0" applyFon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13" borderId="6" applyNumberFormat="0" applyAlignment="0" applyProtection="0">
      <alignment vertical="center"/>
    </xf>
    <xf numFmtId="0" fontId="67" fillId="14" borderId="7" applyNumberFormat="0" applyAlignment="0" applyProtection="0">
      <alignment vertical="center"/>
    </xf>
    <xf numFmtId="0" fontId="68" fillId="14" borderId="6" applyNumberFormat="0" applyAlignment="0" applyProtection="0">
      <alignment vertical="center"/>
    </xf>
    <xf numFmtId="0" fontId="69" fillId="15" borderId="8" applyNumberFormat="0" applyAlignment="0" applyProtection="0">
      <alignment vertical="center"/>
    </xf>
    <xf numFmtId="0" fontId="70" fillId="0" borderId="9" applyNumberFormat="0" applyFill="0" applyAlignment="0" applyProtection="0">
      <alignment vertical="center"/>
    </xf>
    <xf numFmtId="0" fontId="71" fillId="0" borderId="10" applyNumberFormat="0" applyFill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3" fillId="17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1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5" borderId="0" applyNumberFormat="0" applyBorder="0" applyAlignment="0" applyProtection="0">
      <alignment vertical="center"/>
    </xf>
    <xf numFmtId="0" fontId="75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29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5" fillId="34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6" fillId="36" borderId="0" applyNumberFormat="0" applyBorder="0" applyAlignment="0" applyProtection="0">
      <alignment vertical="center"/>
    </xf>
    <xf numFmtId="0" fontId="76" fillId="37" borderId="0" applyNumberFormat="0" applyBorder="0" applyAlignment="0" applyProtection="0">
      <alignment vertical="center"/>
    </xf>
    <xf numFmtId="0" fontId="75" fillId="38" borderId="0" applyNumberFormat="0" applyBorder="0" applyAlignment="0" applyProtection="0">
      <alignment vertical="center"/>
    </xf>
    <xf numFmtId="0" fontId="75" fillId="39" borderId="0" applyNumberFormat="0" applyBorder="0" applyAlignment="0" applyProtection="0">
      <alignment vertical="center"/>
    </xf>
    <xf numFmtId="0" fontId="76" fillId="40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5" fillId="42" borderId="0" applyNumberFormat="0" applyBorder="0" applyAlignment="0" applyProtection="0">
      <alignment vertical="center"/>
    </xf>
  </cellStyleXfs>
  <cellXfs count="152">
    <xf numFmtId="0" fontId="0" fillId="0" borderId="0" xfId="0" applyAlignment="1"/>
    <xf numFmtId="0" fontId="0" fillId="2" borderId="0" xfId="0" applyFill="1" applyAlignme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/>
    <xf numFmtId="0" fontId="6" fillId="2" borderId="0" xfId="0" applyFont="1" applyFill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indent="1"/>
    </xf>
    <xf numFmtId="0" fontId="0" fillId="0" borderId="2" xfId="0" applyBorder="1"/>
    <xf numFmtId="0" fontId="8" fillId="7" borderId="0" xfId="0" applyFont="1" applyFill="1" applyAlignment="1">
      <alignment horizontal="left" vertical="center" indent="2"/>
    </xf>
    <xf numFmtId="0" fontId="9" fillId="7" borderId="2" xfId="0" applyFont="1" applyFill="1" applyBorder="1" applyAlignment="1">
      <alignment horizontal="left" vertical="center" indent="2"/>
    </xf>
    <xf numFmtId="0" fontId="3" fillId="0" borderId="0" xfId="0" applyFont="1" applyAlignment="1"/>
    <xf numFmtId="2" fontId="10" fillId="8" borderId="0" xfId="0" applyNumberFormat="1" applyFont="1" applyFill="1" applyAlignment="1"/>
    <xf numFmtId="0" fontId="11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176" fontId="12" fillId="4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176" fontId="12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176" fontId="13" fillId="6" borderId="1" xfId="0" applyNumberFormat="1" applyFont="1" applyFill="1" applyBorder="1" applyAlignment="1">
      <alignment horizontal="right" vertical="center"/>
    </xf>
    <xf numFmtId="177" fontId="13" fillId="6" borderId="1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0" fontId="17" fillId="4" borderId="0" xfId="0" applyNumberFormat="1" applyFont="1" applyFill="1" applyAlignment="1">
      <alignment horizontal="right" vertical="center"/>
    </xf>
    <xf numFmtId="0" fontId="11" fillId="4" borderId="0" xfId="0" applyFont="1" applyFill="1" applyAlignment="1">
      <alignment horizontal="left" vertical="center"/>
    </xf>
    <xf numFmtId="10" fontId="18" fillId="4" borderId="0" xfId="0" applyNumberFormat="1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right" vertical="center"/>
    </xf>
    <xf numFmtId="179" fontId="20" fillId="4" borderId="0" xfId="0" applyNumberFormat="1" applyFont="1" applyFill="1" applyAlignment="1">
      <alignment horizontal="right" vertical="center"/>
    </xf>
    <xf numFmtId="10" fontId="20" fillId="4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left" vertical="center"/>
    </xf>
    <xf numFmtId="0" fontId="22" fillId="4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17" fillId="9" borderId="0" xfId="0" applyFont="1" applyFill="1" applyAlignment="1">
      <alignment horizontal="right" vertical="center"/>
    </xf>
    <xf numFmtId="0" fontId="11" fillId="9" borderId="0" xfId="0" applyFont="1" applyFill="1" applyAlignment="1">
      <alignment horizontal="left" vertical="center"/>
    </xf>
    <xf numFmtId="0" fontId="18" fillId="9" borderId="0" xfId="0" applyFont="1" applyFill="1" applyAlignment="1">
      <alignment horizontal="right" vertical="center"/>
    </xf>
    <xf numFmtId="0" fontId="23" fillId="9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left" vertical="center"/>
    </xf>
    <xf numFmtId="178" fontId="25" fillId="4" borderId="0" xfId="0" applyNumberFormat="1" applyFont="1" applyFill="1" applyAlignment="1">
      <alignment horizontal="right" vertical="center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29" fillId="10" borderId="0" xfId="0" applyFont="1" applyFill="1" applyAlignment="1">
      <alignment horizontal="left" vertical="center"/>
    </xf>
    <xf numFmtId="0" fontId="11" fillId="10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 wrapText="1"/>
    </xf>
    <xf numFmtId="0" fontId="24" fillId="2" borderId="0" xfId="0" applyFont="1" applyFill="1" applyAlignment="1"/>
    <xf numFmtId="0" fontId="30" fillId="2" borderId="0" xfId="0" applyFont="1" applyFill="1" applyAlignment="1">
      <alignment horizontal="left" vertical="center"/>
    </xf>
    <xf numFmtId="0" fontId="15" fillId="2" borderId="0" xfId="0" applyFont="1" applyFill="1" applyAlignment="1"/>
    <xf numFmtId="0" fontId="31" fillId="4" borderId="1" xfId="0" applyFont="1" applyFill="1" applyBorder="1" applyAlignment="1"/>
    <xf numFmtId="9" fontId="4" fillId="4" borderId="1" xfId="0" applyNumberFormat="1" applyFont="1" applyFill="1" applyBorder="1" applyAlignment="1">
      <alignment horizontal="center" vertical="center"/>
    </xf>
    <xf numFmtId="9" fontId="13" fillId="9" borderId="1" xfId="0" applyNumberFormat="1" applyFont="1" applyFill="1" applyBorder="1" applyAlignment="1">
      <alignment horizontal="center" vertical="center"/>
    </xf>
    <xf numFmtId="0" fontId="32" fillId="5" borderId="1" xfId="0" applyFont="1" applyFill="1" applyBorder="1" applyAlignment="1"/>
    <xf numFmtId="9" fontId="4" fillId="5" borderId="1" xfId="0" applyNumberFormat="1" applyFont="1" applyFill="1" applyBorder="1" applyAlignment="1">
      <alignment horizontal="center" vertical="center"/>
    </xf>
    <xf numFmtId="0" fontId="33" fillId="4" borderId="1" xfId="0" applyFont="1" applyFill="1" applyBorder="1" applyAlignment="1"/>
    <xf numFmtId="0" fontId="34" fillId="5" borderId="1" xfId="0" applyFont="1" applyFill="1" applyBorder="1" applyAlignment="1"/>
    <xf numFmtId="0" fontId="35" fillId="4" borderId="1" xfId="0" applyFont="1" applyFill="1" applyBorder="1" applyAlignment="1"/>
    <xf numFmtId="0" fontId="1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6" fillId="4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6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/>
    <xf numFmtId="0" fontId="1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/>
    <xf numFmtId="0" fontId="13" fillId="5" borderId="1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7" fillId="0" borderId="0" xfId="0" applyFont="1" applyAlignment="1"/>
    <xf numFmtId="0" fontId="38" fillId="4" borderId="1" xfId="0" applyFont="1" applyFill="1" applyBorder="1" applyAlignment="1">
      <alignment horizontal="left" vertical="center" wrapText="1"/>
    </xf>
    <xf numFmtId="0" fontId="38" fillId="5" borderId="1" xfId="0" applyFont="1" applyFill="1" applyBorder="1" applyAlignment="1">
      <alignment horizontal="left" vertical="center" wrapText="1"/>
    </xf>
    <xf numFmtId="0" fontId="39" fillId="4" borderId="1" xfId="0" applyFont="1" applyFill="1" applyBorder="1" applyAlignment="1">
      <alignment horizontal="left" vertical="center"/>
    </xf>
    <xf numFmtId="0" fontId="40" fillId="4" borderId="1" xfId="0" applyFont="1" applyFill="1" applyBorder="1" applyAlignment="1">
      <alignment horizontal="left" vertical="center"/>
    </xf>
    <xf numFmtId="179" fontId="40" fillId="4" borderId="1" xfId="0" applyNumberFormat="1" applyFont="1" applyFill="1" applyBorder="1" applyAlignment="1">
      <alignment horizontal="right" vertical="center"/>
    </xf>
    <xf numFmtId="0" fontId="41" fillId="5" borderId="1" xfId="0" applyFont="1" applyFill="1" applyBorder="1" applyAlignment="1">
      <alignment horizontal="left" vertical="center"/>
    </xf>
    <xf numFmtId="0" fontId="40" fillId="5" borderId="1" xfId="0" applyFont="1" applyFill="1" applyBorder="1" applyAlignment="1">
      <alignment horizontal="left" vertical="center"/>
    </xf>
    <xf numFmtId="179" fontId="40" fillId="5" borderId="1" xfId="0" applyNumberFormat="1" applyFont="1" applyFill="1" applyBorder="1" applyAlignment="1">
      <alignment horizontal="right" vertical="center"/>
    </xf>
    <xf numFmtId="0" fontId="42" fillId="4" borderId="1" xfId="0" applyFont="1" applyFill="1" applyBorder="1" applyAlignment="1">
      <alignment horizontal="left" vertical="center"/>
    </xf>
    <xf numFmtId="0" fontId="43" fillId="5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/>
    <xf numFmtId="179" fontId="44" fillId="6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/>
    <xf numFmtId="0" fontId="3" fillId="2" borderId="0" xfId="0" applyFont="1" applyFill="1" applyAlignment="1"/>
    <xf numFmtId="177" fontId="45" fillId="4" borderId="1" xfId="0" applyNumberFormat="1" applyFont="1" applyFill="1" applyBorder="1" applyAlignment="1">
      <alignment horizontal="right" vertical="center"/>
    </xf>
    <xf numFmtId="180" fontId="40" fillId="4" borderId="1" xfId="0" applyNumberFormat="1" applyFont="1" applyFill="1" applyBorder="1" applyAlignment="1">
      <alignment horizontal="right" vertical="center"/>
    </xf>
    <xf numFmtId="177" fontId="45" fillId="5" borderId="1" xfId="0" applyNumberFormat="1" applyFont="1" applyFill="1" applyBorder="1" applyAlignment="1">
      <alignment horizontal="right" vertical="center"/>
    </xf>
    <xf numFmtId="180" fontId="40" fillId="5" borderId="1" xfId="0" applyNumberFormat="1" applyFont="1" applyFill="1" applyBorder="1" applyAlignment="1">
      <alignment horizontal="right" vertical="center"/>
    </xf>
    <xf numFmtId="177" fontId="44" fillId="6" borderId="1" xfId="0" applyNumberFormat="1" applyFont="1" applyFill="1" applyBorder="1" applyAlignment="1">
      <alignment horizontal="right" vertical="center"/>
    </xf>
    <xf numFmtId="0" fontId="34" fillId="4" borderId="1" xfId="0" applyFont="1" applyFill="1" applyBorder="1" applyAlignment="1">
      <alignment horizontal="left" vertical="center"/>
    </xf>
    <xf numFmtId="10" fontId="4" fillId="4" borderId="1" xfId="0" applyNumberFormat="1" applyFont="1" applyFill="1" applyBorder="1" applyAlignment="1">
      <alignment horizontal="right" vertical="center"/>
    </xf>
    <xf numFmtId="0" fontId="34" fillId="5" borderId="1" xfId="0" applyFont="1" applyFill="1" applyBorder="1" applyAlignment="1">
      <alignment horizontal="left" vertical="center"/>
    </xf>
    <xf numFmtId="10" fontId="4" fillId="5" borderId="1" xfId="0" applyNumberFormat="1" applyFont="1" applyFill="1" applyBorder="1" applyAlignment="1">
      <alignment horizontal="right" vertical="center"/>
    </xf>
    <xf numFmtId="10" fontId="13" fillId="6" borderId="1" xfId="0" applyNumberFormat="1" applyFont="1" applyFill="1" applyBorder="1" applyAlignment="1">
      <alignment horizontal="right" vertical="center"/>
    </xf>
    <xf numFmtId="177" fontId="12" fillId="4" borderId="1" xfId="0" applyNumberFormat="1" applyFont="1" applyFill="1" applyBorder="1" applyAlignment="1">
      <alignment horizontal="right" vertical="center"/>
    </xf>
    <xf numFmtId="177" fontId="12" fillId="5" borderId="1" xfId="0" applyNumberFormat="1" applyFont="1" applyFill="1" applyBorder="1" applyAlignment="1">
      <alignment horizontal="right" vertical="center"/>
    </xf>
    <xf numFmtId="0" fontId="31" fillId="4" borderId="1" xfId="0" applyFont="1" applyFill="1" applyBorder="1" applyAlignment="1">
      <alignment horizontal="left" vertical="center"/>
    </xf>
    <xf numFmtId="0" fontId="31" fillId="5" borderId="1" xfId="0" applyFont="1" applyFill="1" applyBorder="1" applyAlignment="1">
      <alignment horizontal="left" vertical="center"/>
    </xf>
    <xf numFmtId="0" fontId="32" fillId="4" borderId="1" xfId="0" applyFont="1" applyFill="1" applyBorder="1" applyAlignment="1">
      <alignment horizontal="left" vertical="center"/>
    </xf>
    <xf numFmtId="0" fontId="32" fillId="5" borderId="1" xfId="0" applyFont="1" applyFill="1" applyBorder="1" applyAlignment="1">
      <alignment horizontal="left" vertical="center"/>
    </xf>
    <xf numFmtId="0" fontId="33" fillId="4" borderId="1" xfId="0" applyFont="1" applyFill="1" applyBorder="1" applyAlignment="1">
      <alignment horizontal="left" vertical="center"/>
    </xf>
    <xf numFmtId="0" fontId="33" fillId="5" borderId="1" xfId="0" applyFont="1" applyFill="1" applyBorder="1" applyAlignment="1">
      <alignment horizontal="left" vertical="center"/>
    </xf>
    <xf numFmtId="0" fontId="35" fillId="5" borderId="1" xfId="0" applyFont="1" applyFill="1" applyBorder="1" applyAlignment="1">
      <alignment horizontal="left" vertical="center"/>
    </xf>
    <xf numFmtId="0" fontId="35" fillId="4" borderId="1" xfId="0" applyFont="1" applyFill="1" applyBorder="1" applyAlignment="1">
      <alignment horizontal="left" vertical="center"/>
    </xf>
    <xf numFmtId="0" fontId="46" fillId="3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left" vertical="center"/>
    </xf>
    <xf numFmtId="9" fontId="40" fillId="4" borderId="1" xfId="0" applyNumberFormat="1" applyFont="1" applyFill="1" applyBorder="1" applyAlignment="1">
      <alignment horizontal="right" vertical="center"/>
    </xf>
    <xf numFmtId="9" fontId="40" fillId="5" borderId="1" xfId="0" applyNumberFormat="1" applyFont="1" applyFill="1" applyBorder="1" applyAlignment="1">
      <alignment horizontal="right" vertical="center"/>
    </xf>
    <xf numFmtId="0" fontId="47" fillId="5" borderId="1" xfId="0" applyFont="1" applyFill="1" applyBorder="1" applyAlignment="1">
      <alignment horizontal="left" vertical="center"/>
    </xf>
    <xf numFmtId="9" fontId="44" fillId="6" borderId="1" xfId="0" applyNumberFormat="1" applyFont="1" applyFill="1" applyBorder="1" applyAlignment="1">
      <alignment horizontal="right" vertical="center"/>
    </xf>
    <xf numFmtId="0" fontId="48" fillId="0" borderId="0" xfId="0" applyFont="1" applyAlignment="1"/>
    <xf numFmtId="0" fontId="40" fillId="4" borderId="1" xfId="0" applyFont="1" applyFill="1" applyBorder="1" applyAlignment="1">
      <alignment horizontal="left" vertical="center" wrapText="1"/>
    </xf>
    <xf numFmtId="0" fontId="40" fillId="5" borderId="1" xfId="0" applyFont="1" applyFill="1" applyBorder="1" applyAlignment="1">
      <alignment horizontal="left" vertical="center" wrapText="1"/>
    </xf>
    <xf numFmtId="0" fontId="49" fillId="4" borderId="1" xfId="0" applyFont="1" applyFill="1" applyBorder="1" applyAlignment="1">
      <alignment horizontal="left" vertical="center"/>
    </xf>
    <xf numFmtId="0" fontId="0" fillId="0" borderId="0" xfId="0"/>
    <xf numFmtId="0" fontId="50" fillId="2" borderId="0" xfId="0" applyFont="1" applyFill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3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3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77" fontId="12" fillId="4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177" fontId="12" fillId="5" borderId="0" xfId="0" applyNumberFormat="1" applyFont="1" applyFill="1" applyAlignment="1">
      <alignment horizontal="right" vertical="center"/>
    </xf>
    <xf numFmtId="0" fontId="5" fillId="6" borderId="0" xfId="0" applyFont="1" applyFill="1" applyAlignment="1"/>
    <xf numFmtId="177" fontId="13" fillId="6" borderId="0" xfId="0" applyNumberFormat="1" applyFont="1" applyFill="1" applyAlignment="1">
      <alignment horizontal="right" vertical="center"/>
    </xf>
    <xf numFmtId="0" fontId="0" fillId="6" borderId="0" xfId="0" applyFill="1" applyAlignment="1"/>
    <xf numFmtId="0" fontId="31" fillId="4" borderId="0" xfId="0" applyFont="1" applyFill="1" applyAlignment="1">
      <alignment horizontal="left" vertical="center"/>
    </xf>
    <xf numFmtId="179" fontId="4" fillId="4" borderId="0" xfId="0" applyNumberFormat="1" applyFont="1" applyFill="1" applyAlignment="1">
      <alignment horizontal="right" vertical="center"/>
    </xf>
    <xf numFmtId="0" fontId="32" fillId="5" borderId="0" xfId="0" applyFont="1" applyFill="1" applyAlignment="1">
      <alignment horizontal="left" vertical="center"/>
    </xf>
    <xf numFmtId="179" fontId="4" fillId="5" borderId="0" xfId="0" applyNumberFormat="1" applyFont="1" applyFill="1" applyAlignment="1">
      <alignment horizontal="right" vertical="center"/>
    </xf>
    <xf numFmtId="0" fontId="33" fillId="4" borderId="0" xfId="0" applyFont="1" applyFill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35" fillId="4" borderId="0" xfId="0" applyFont="1" applyFill="1" applyAlignment="1">
      <alignment horizontal="left" vertical="center"/>
    </xf>
    <xf numFmtId="179" fontId="13" fillId="6" borderId="0" xfId="0" applyNumberFormat="1" applyFont="1" applyFill="1" applyAlignment="1">
      <alignment horizontal="right" vertical="center"/>
    </xf>
    <xf numFmtId="0" fontId="5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/>
    <xf numFmtId="0" fontId="0" fillId="5" borderId="0" xfId="0" applyFill="1" applyAlignment="1"/>
    <xf numFmtId="0" fontId="55" fillId="11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E1016"/>
      <rgbColor rgb="00808000"/>
      <rgbColor rgb="00800080"/>
      <rgbColor rgb="00008080"/>
      <rgbColor rgb="00C0C0C0"/>
      <rgbColor rgb="00878787"/>
      <rgbColor rgb="0094A3B8"/>
      <rgbColor rgb="00C0504D"/>
      <rgbColor rgb="00FFF9C4"/>
      <rgbColor rgb="00F9F9F9"/>
      <rgbColor rgb="00660066"/>
      <rgbColor rgb="00FF8080"/>
      <rgbColor rgb="000066CC"/>
      <rgbColor rgb="00D9D9D9"/>
      <rgbColor rgb="000A0A0F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5C842"/>
      <rgbColor rgb="004A90D9"/>
      <rgbColor rgb="005AC8A0"/>
      <rgbColor rgb="009BBB59"/>
      <rgbColor rgb="00FBBF24"/>
      <rgbColor rgb="00FF9900"/>
      <rgbColor rgb="00F97316"/>
      <rgbColor rgb="004F81BD"/>
      <rgbColor rgb="009CA3AF"/>
      <rgbColor rgb="0012141A"/>
      <rgbColor rgb="0022C55E"/>
      <rgbColor rgb="001A2030"/>
      <rgbColor rgb="001A1D25"/>
      <rgbColor rgb="00993300"/>
      <rgbColor rgb="008B5CF6"/>
      <rgbColor rgb="004A4E52"/>
      <rgbColor rgb="002A2D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7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Target Allocation by Asset Class</a:t>
            </a:r>
            <a:endParaRPr lang="en-US" sz="1800" b="1" strike="noStrike">
              <a:solidFill>
                <a:srgbClr val="000000"/>
              </a:solidFill>
              <a:uFillTx/>
              <a:latin typeface="Calibri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'🥧 Asset Allocation'!$O$12</c:f>
              <c:strCache>
                <c:ptCount val="1"/>
                <c:pt idx="0">
                  <c:v>Weight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1A1D25"/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solidFill>
                <a:srgbClr val="4A90D9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solidFill>
                <a:srgbClr val="5AC8A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solidFill>
                <a:srgbClr val="F5C842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</c:dPt>
          <c:dPt>
            <c:idx val="3"/>
            <c:bubble3D val="0"/>
            <c:spPr>
              <a:solidFill>
                <a:srgbClr val="8B5CF6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</c:dPt>
          <c:dPt>
            <c:idx val="4"/>
            <c:bubble3D val="0"/>
            <c:spPr>
              <a:solidFill>
                <a:srgbClr val="F97316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'🥧 Asset Allocation'!$N$13:$N$17</c:f>
              <c:strCache>
                <c:ptCount val="5"/>
                <c:pt idx="0">
                  <c:v>Cash</c:v>
                </c:pt>
                <c:pt idx="1">
                  <c:v>Bonds</c:v>
                </c:pt>
                <c:pt idx="2">
                  <c:v>Gold</c:v>
                </c:pt>
                <c:pt idx="3">
                  <c:v>Equities</c:v>
                </c:pt>
                <c:pt idx="4">
                  <c:v>Bitcoin</c:v>
                </c:pt>
              </c:strCache>
            </c:strRef>
          </c:cat>
          <c:val>
            <c:numRef>
              <c:f>'🥧 Asset Allocation'!$O$13:$O$17</c:f>
              <c:numCache>
                <c:formatCode>General</c:formatCode>
                <c:ptCount val="5"/>
                <c:pt idx="0">
                  <c:v>0.25</c:v>
                </c:pt>
                <c:pt idx="1">
                  <c:v>0.15</c:v>
                </c:pt>
                <c:pt idx="2">
                  <c:v>0.2</c:v>
                </c:pt>
                <c:pt idx="3">
                  <c:v>0.3</c:v>
                </c:pt>
                <c:pt idx="4">
                  <c:v>0.1</c:v>
                </c:pt>
              </c:numCache>
            </c:numRef>
          </c:val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9aab19-5d2d-4f44-a6ec-c7d8b380898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7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Allocation by Amount (USD)</a:t>
            </a:r>
            <a:endParaRPr lang="en-US" sz="1800" b="1" strike="noStrike">
              <a:solidFill>
                <a:srgbClr val="000000"/>
              </a:solidFill>
              <a:uFillTx/>
              <a:latin typeface="Calibri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'🥧 Asset Allocation'!$D$4</c:f>
              <c:strCache>
                <c:ptCount val="1"/>
                <c:pt idx="0">
                  <c:v>Amount (USD)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Arial" panose="020B07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'🥧 Asset Allocation'!$N$13:$N$17</c:f>
              <c:strCache>
                <c:ptCount val="5"/>
                <c:pt idx="0">
                  <c:v>Cash</c:v>
                </c:pt>
                <c:pt idx="1">
                  <c:v>Bonds</c:v>
                </c:pt>
                <c:pt idx="2">
                  <c:v>Gold</c:v>
                </c:pt>
                <c:pt idx="3">
                  <c:v>Equities</c:v>
                </c:pt>
                <c:pt idx="4">
                  <c:v>Bitcoin</c:v>
                </c:pt>
              </c:strCache>
            </c:strRef>
          </c:cat>
          <c:val>
            <c:numRef>
              <c:f>'🥧 Asset Allocation'!$D$5:$D$9</c:f>
              <c:numCache>
                <c:formatCode>"$"#,##0</c:formatCode>
                <c:ptCount val="5"/>
                <c:pt idx="0">
                  <c:v>115000</c:v>
                </c:pt>
                <c:pt idx="1">
                  <c:v>69000</c:v>
                </c:pt>
                <c:pt idx="2">
                  <c:v>92000</c:v>
                </c:pt>
                <c:pt idx="3">
                  <c:v>138000</c:v>
                </c:pt>
                <c:pt idx="4">
                  <c:v>46000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60665194"/>
        <c:axId val="75923167"/>
      </c:barChart>
      <c:catAx>
        <c:axId val="6066519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7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Asset Class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75923167"/>
        <c:crosses val="autoZero"/>
        <c:auto val="1"/>
        <c:lblAlgn val="ctr"/>
        <c:lblOffset val="100"/>
        <c:noMultiLvlLbl val="0"/>
      </c:catAx>
      <c:valAx>
        <c:axId val="7592316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7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Amount (USD)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&quot;$&quot;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60665194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563631-5088-4f24-86ac-6fc2350ba27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7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Gaveta Allocations (USD)</a:t>
            </a:r>
            <a:endParaRPr lang="en-US" sz="1800" b="1" strike="noStrike">
              <a:solidFill>
                <a:srgbClr val="000000"/>
              </a:solidFill>
              <a:uFillTx/>
              <a:latin typeface="Calibri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'🗂 Gavetas'!$C$20</c:f>
              <c:strCache>
                <c:ptCount val="1"/>
                <c:pt idx="0">
                  <c:v>USD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Arial" panose="020B07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'🗂 Gavetas'!$B$21:$B$24</c:f>
              <c:strCache>
                <c:ptCount val="4"/>
                <c:pt idx="0">
                  <c:v>Preservation &amp; Optionality</c:v>
                </c:pt>
                <c:pt idx="1">
                  <c:v>Convex Growth: Equities (VISA)</c:v>
                </c:pt>
                <c:pt idx="2">
                  <c:v>Convex Growth: Crypto (CFM)</c:v>
                </c:pt>
                <c:pt idx="3">
                  <c:v>Tactical Brazil</c:v>
                </c:pt>
              </c:strCache>
            </c:strRef>
          </c:cat>
          <c:val>
            <c:numRef>
              <c:f>'🗂 Gavetas'!$C$21:$C$24</c:f>
              <c:numCache>
                <c:formatCode>General</c:formatCode>
                <c:ptCount val="4"/>
                <c:pt idx="0">
                  <c:v>276000</c:v>
                </c:pt>
                <c:pt idx="1">
                  <c:v>138000</c:v>
                </c:pt>
                <c:pt idx="2">
                  <c:v>46000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28570807"/>
        <c:axId val="59073586"/>
      </c:barChart>
      <c:catAx>
        <c:axId val="285708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59073586"/>
        <c:crosses val="autoZero"/>
        <c:auto val="1"/>
        <c:lblAlgn val="ctr"/>
        <c:lblOffset val="100"/>
        <c:noMultiLvlLbl val="0"/>
      </c:catAx>
      <c:valAx>
        <c:axId val="5907358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7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Amount (USD)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28570807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803eed-5de7-4fd0-8c1e-6dbf24e0495a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7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Equities Allocation by Ticker (USD)</a:t>
            </a:r>
            <a:endParaRPr lang="en-US" sz="1800" b="1" strike="noStrike">
              <a:solidFill>
                <a:srgbClr val="000000"/>
              </a:solidFill>
              <a:uFillTx/>
              <a:latin typeface="Calibri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Equities VISA'!$L$4</c:f>
              <c:strCache>
                <c:ptCount val="1"/>
                <c:pt idx="0">
                  <c:v>Alloc USD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Arial" panose="020B07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'📈 Equities VISA'!$K$5:$K$19</c:f>
              <c:strCache>
                <c:ptCount val="15"/>
                <c:pt idx="0">
                  <c:v>TFLO</c:v>
                </c:pt>
                <c:pt idx="1">
                  <c:v>EWZ</c:v>
                </c:pt>
                <c:pt idx="2">
                  <c:v>SPY</c:v>
                </c:pt>
                <c:pt idx="3">
                  <c:v>GDX</c:v>
                </c:pt>
                <c:pt idx="4">
                  <c:v>XLU</c:v>
                </c:pt>
                <c:pt idx="5">
                  <c:v>VXX</c:v>
                </c:pt>
                <c:pt idx="6">
                  <c:v>FXI</c:v>
                </c:pt>
                <c:pt idx="7">
                  <c:v>EWH</c:v>
                </c:pt>
                <c:pt idx="8">
                  <c:v>BABA</c:v>
                </c:pt>
                <c:pt idx="9">
                  <c:v>BIDU</c:v>
                </c:pt>
                <c:pt idx="10">
                  <c:v>MSTR</c:v>
                </c:pt>
                <c:pt idx="11">
                  <c:v>RIOT</c:v>
                </c:pt>
                <c:pt idx="12">
                  <c:v>CLSK</c:v>
                </c:pt>
                <c:pt idx="13">
                  <c:v>COIN</c:v>
                </c:pt>
                <c:pt idx="14">
                  <c:v>TSLA</c:v>
                </c:pt>
              </c:strCache>
            </c:strRef>
          </c:cat>
          <c:val>
            <c:numRef>
              <c:f>'📈 Equities VISA'!$L$5:$L$19</c:f>
              <c:numCache>
                <c:formatCode>General</c:formatCode>
                <c:ptCount val="15"/>
                <c:pt idx="0">
                  <c:v>69000</c:v>
                </c:pt>
                <c:pt idx="1">
                  <c:v>7590</c:v>
                </c:pt>
                <c:pt idx="2">
                  <c:v>6210</c:v>
                </c:pt>
                <c:pt idx="3">
                  <c:v>6210</c:v>
                </c:pt>
                <c:pt idx="4">
                  <c:v>3105</c:v>
                </c:pt>
                <c:pt idx="5">
                  <c:v>3105</c:v>
                </c:pt>
                <c:pt idx="6">
                  <c:v>6900</c:v>
                </c:pt>
                <c:pt idx="7">
                  <c:v>6900</c:v>
                </c:pt>
                <c:pt idx="8">
                  <c:v>6900</c:v>
                </c:pt>
                <c:pt idx="9">
                  <c:v>6900</c:v>
                </c:pt>
                <c:pt idx="10">
                  <c:v>2760</c:v>
                </c:pt>
                <c:pt idx="11">
                  <c:v>2760</c:v>
                </c:pt>
                <c:pt idx="12">
                  <c:v>2760</c:v>
                </c:pt>
                <c:pt idx="13">
                  <c:v>2760</c:v>
                </c:pt>
                <c:pt idx="14">
                  <c:v>4140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64332104"/>
        <c:axId val="88396909"/>
      </c:barChart>
      <c:catAx>
        <c:axId val="64332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88396909"/>
        <c:crosses val="autoZero"/>
        <c:auto val="1"/>
        <c:lblAlgn val="ctr"/>
        <c:lblOffset val="100"/>
        <c:noMultiLvlLbl val="0"/>
      </c:catAx>
      <c:valAx>
        <c:axId val="8839690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7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Amount (USD)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64332104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e89397-cb13-44bc-95a5-ea3571a4e9f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7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Crypto Allocation by Coin</a:t>
            </a:r>
            <a:endParaRPr lang="en-US" sz="1800" b="1" strike="noStrike">
              <a:solidFill>
                <a:srgbClr val="000000"/>
              </a:solidFill>
              <a:uFillTx/>
              <a:latin typeface="Calibri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'₿ Crypto CFM'!$K$4</c:f>
              <c:strCache>
                <c:ptCount val="1"/>
                <c:pt idx="0">
                  <c:v>Alloc USD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solidFill>
                <a:srgbClr val="F97316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solidFill>
                <a:srgbClr val="8B5CF6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solidFill>
                <a:srgbClr val="9CA3AF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</c:dPt>
          <c:dPt>
            <c:idx val="3"/>
            <c:bubble3D val="0"/>
            <c:spPr>
              <a:solidFill>
                <a:srgbClr val="4A90D9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Calibri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'₿ Crypto CFM'!$J$5:$J$8</c:f>
              <c:strCache>
                <c:ptCount val="4"/>
                <c:pt idx="0">
                  <c:v>BTC</c:v>
                </c:pt>
                <c:pt idx="1">
                  <c:v>ETH</c:v>
                </c:pt>
                <c:pt idx="2">
                  <c:v>LTC</c:v>
                </c:pt>
                <c:pt idx="3">
                  <c:v>LINK</c:v>
                </c:pt>
              </c:strCache>
            </c:strRef>
          </c:cat>
          <c:val>
            <c:numRef>
              <c:f>'₿ Crypto CFM'!$K$5:$K$8</c:f>
              <c:numCache>
                <c:formatCode>General</c:formatCode>
                <c:ptCount val="4"/>
                <c:pt idx="0">
                  <c:v>36800</c:v>
                </c:pt>
                <c:pt idx="1">
                  <c:v>5750</c:v>
                </c:pt>
                <c:pt idx="2">
                  <c:v>2576</c:v>
                </c:pt>
                <c:pt idx="3">
                  <c:v>874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a44ed9-7a39-43c5-aa1a-3fcec02f94b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300" b="0" i="0" u="none" strike="noStrike" kern="1200" baseline="0">
                <a:solidFill>
                  <a:schemeClr val="tx1"/>
                </a:solidFill>
                <a:uFillTx/>
                <a:latin typeface="Arial" panose="020B0704020202020204"/>
                <a:ea typeface="+mn-ea"/>
                <a:cs typeface="+mn-cs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Target Weights by Regime</a:t>
            </a:r>
            <a:endParaRPr lang="en-US" sz="1800" b="1" strike="noStrike">
              <a:solidFill>
                <a:srgbClr val="000000"/>
              </a:solidFill>
              <a:uFillTx/>
              <a:latin typeface="Calibri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"Liquidity Crisis"</c:f>
              <c:strCache>
                <c:ptCount val="1"/>
                <c:pt idx="0">
                  <c:v>Liquidity Crisis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Arial" panose="020B07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'⚡ Regime &amp; Risk'!$H$10:$H$14</c:f>
              <c:strCache>
                <c:ptCount val="5"/>
                <c:pt idx="0">
                  <c:v>Cash</c:v>
                </c:pt>
                <c:pt idx="1">
                  <c:v>Bonds</c:v>
                </c:pt>
                <c:pt idx="2">
                  <c:v>Gold</c:v>
                </c:pt>
                <c:pt idx="3">
                  <c:v>Equities</c:v>
                </c:pt>
                <c:pt idx="4">
                  <c:v>Bitcoin</c:v>
                </c:pt>
              </c:strCache>
            </c:strRef>
          </c:cat>
          <c:val>
            <c:numRef>
              <c:f>'⚡ Regime &amp; Risk'!$I$9:$I$14</c:f>
              <c:numCache>
                <c:formatCode>General</c:formatCode>
                <c:ptCount val="6"/>
                <c:pt idx="0">
                  <c:v>0</c:v>
                </c:pt>
                <c:pt idx="1">
                  <c:v>0.35</c:v>
                </c:pt>
                <c:pt idx="2">
                  <c:v>0.25</c:v>
                </c:pt>
                <c:pt idx="3">
                  <c:v>0.2</c:v>
                </c:pt>
                <c:pt idx="4">
                  <c:v>0.15</c:v>
                </c:pt>
                <c:pt idx="5">
                  <c:v>0.05</c:v>
                </c:pt>
              </c:numCache>
            </c:numRef>
          </c:val>
        </c:ser>
        <c:ser>
          <c:idx val="1"/>
          <c:order val="1"/>
          <c:tx>
            <c:strRef>
              <c:f>"Defensive Convex"</c:f>
              <c:strCache>
                <c:ptCount val="1"/>
                <c:pt idx="0">
                  <c:v>Defensive Convex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Arial" panose="020B07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'⚡ Regime &amp; Risk'!$H$10:$H$14</c:f>
              <c:strCache>
                <c:ptCount val="5"/>
                <c:pt idx="0">
                  <c:v>Cash</c:v>
                </c:pt>
                <c:pt idx="1">
                  <c:v>Bonds</c:v>
                </c:pt>
                <c:pt idx="2">
                  <c:v>Gold</c:v>
                </c:pt>
                <c:pt idx="3">
                  <c:v>Equities</c:v>
                </c:pt>
                <c:pt idx="4">
                  <c:v>Bitcoin</c:v>
                </c:pt>
              </c:strCache>
            </c:strRef>
          </c:cat>
          <c:val>
            <c:numRef>
              <c:f>'⚡ Regime &amp; Risk'!$J$9:$J$14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0.1</c:v>
                </c:pt>
              </c:numCache>
            </c:numRef>
          </c:val>
        </c:ser>
        <c:ser>
          <c:idx val="2"/>
          <c:order val="2"/>
          <c:tx>
            <c:strRef>
              <c:f>"Expansion"</c:f>
              <c:strCache>
                <c:ptCount val="1"/>
                <c:pt idx="0">
                  <c:v>Expansion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000000"/>
                    </a:solidFill>
                    <a:uFillTx/>
                    <a:latin typeface="Arial" panose="020B07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'⚡ Regime &amp; Risk'!$H$10:$H$14</c:f>
              <c:strCache>
                <c:ptCount val="5"/>
                <c:pt idx="0">
                  <c:v>Cash</c:v>
                </c:pt>
                <c:pt idx="1">
                  <c:v>Bonds</c:v>
                </c:pt>
                <c:pt idx="2">
                  <c:v>Gold</c:v>
                </c:pt>
                <c:pt idx="3">
                  <c:v>Equities</c:v>
                </c:pt>
                <c:pt idx="4">
                  <c:v>Bitcoin</c:v>
                </c:pt>
              </c:strCache>
            </c:strRef>
          </c:cat>
          <c:val>
            <c:numRef>
              <c:f>'⚡ Regime &amp; Risk'!$K$9:$K$14</c:f>
              <c:numCache>
                <c:formatCode>General</c:formatCode>
                <c:ptCount val="6"/>
                <c:pt idx="0">
                  <c:v>0</c:v>
                </c:pt>
                <c:pt idx="1">
                  <c:v>0.15</c:v>
                </c:pt>
                <c:pt idx="2">
                  <c:v>0.1</c:v>
                </c:pt>
                <c:pt idx="3">
                  <c:v>0.15</c:v>
                </c:pt>
                <c:pt idx="4">
                  <c:v>0.4</c:v>
                </c:pt>
                <c:pt idx="5">
                  <c:v>0.2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5778336"/>
        <c:axId val="68468604"/>
      </c:barChart>
      <c:catAx>
        <c:axId val="55778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68468604"/>
        <c:crosses val="autoZero"/>
        <c:auto val="1"/>
        <c:lblAlgn val="ctr"/>
        <c:lblOffset val="100"/>
        <c:noMultiLvlLbl val="0"/>
      </c:catAx>
      <c:valAx>
        <c:axId val="6846860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704020202020204"/>
                    <a:ea typeface="+mn-ea"/>
                    <a:cs typeface="+mn-cs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Weight (%)</a:t>
                </a:r>
                <a:endParaRPr lang="en-US" sz="1000" b="1" strike="noStrike">
                  <a:solidFill>
                    <a:srgbClr val="000000"/>
                  </a:solidFill>
                  <a:uFillTx/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55778336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000000"/>
              </a:solidFill>
              <a:uFillTx/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1097bc-3e6b-4327-972e-c32b592edc02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5</xdr:col>
      <xdr:colOff>739440</xdr:colOff>
      <xdr:row>37</xdr:row>
      <xdr:rowOff>86040</xdr:rowOff>
    </xdr:to>
    <xdr:graphicFrame>
      <xdr:nvGraphicFramePr>
        <xdr:cNvPr id="2" name="Chart 1"/>
        <xdr:cNvGraphicFramePr/>
      </xdr:nvGraphicFramePr>
      <xdr:xfrm>
        <a:off x="705485" y="2286000"/>
        <a:ext cx="5697220" cy="513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11</xdr:row>
      <xdr:rowOff>0</xdr:rowOff>
    </xdr:from>
    <xdr:to>
      <xdr:col>17</xdr:col>
      <xdr:colOff>146880</xdr:colOff>
      <xdr:row>33</xdr:row>
      <xdr:rowOff>127800</xdr:rowOff>
    </xdr:to>
    <xdr:graphicFrame>
      <xdr:nvGraphicFramePr>
        <xdr:cNvPr id="3" name="Chart 2"/>
        <xdr:cNvGraphicFramePr/>
      </xdr:nvGraphicFramePr>
      <xdr:xfrm>
        <a:off x="11353165" y="2286000"/>
        <a:ext cx="5790565" cy="4413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4</xdr:col>
      <xdr:colOff>1827000</xdr:colOff>
      <xdr:row>45</xdr:row>
      <xdr:rowOff>86040</xdr:rowOff>
    </xdr:to>
    <xdr:graphicFrame>
      <xdr:nvGraphicFramePr>
        <xdr:cNvPr id="2" name="Chart 1"/>
        <xdr:cNvGraphicFramePr/>
      </xdr:nvGraphicFramePr>
      <xdr:xfrm>
        <a:off x="705485" y="3695700"/>
        <a:ext cx="7191375" cy="5114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6</xdr:col>
      <xdr:colOff>2491560</xdr:colOff>
      <xdr:row>53</xdr:row>
      <xdr:rowOff>86040</xdr:rowOff>
    </xdr:to>
    <xdr:graphicFrame>
      <xdr:nvGraphicFramePr>
        <xdr:cNvPr id="2" name="Chart 1"/>
        <xdr:cNvGraphicFramePr/>
      </xdr:nvGraphicFramePr>
      <xdr:xfrm>
        <a:off x="705485" y="4657725"/>
        <a:ext cx="8749665" cy="5038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5</xdr:col>
      <xdr:colOff>873000</xdr:colOff>
      <xdr:row>38</xdr:row>
      <xdr:rowOff>127800</xdr:rowOff>
    </xdr:to>
    <xdr:graphicFrame>
      <xdr:nvGraphicFramePr>
        <xdr:cNvPr id="2" name="Chart 1"/>
        <xdr:cNvGraphicFramePr/>
      </xdr:nvGraphicFramePr>
      <xdr:xfrm>
        <a:off x="705485" y="3057525"/>
        <a:ext cx="5261610" cy="4318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18</xdr:col>
      <xdr:colOff>472320</xdr:colOff>
      <xdr:row>41</xdr:row>
      <xdr:rowOff>9720</xdr:rowOff>
    </xdr:to>
    <xdr:graphicFrame>
      <xdr:nvGraphicFramePr>
        <xdr:cNvPr id="2" name="Chart 1"/>
        <xdr:cNvGraphicFramePr/>
      </xdr:nvGraphicFramePr>
      <xdr:xfrm>
        <a:off x="10569575" y="3095625"/>
        <a:ext cx="8232140" cy="5038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campinas_real_estate_monitor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campinas_real_estate_monit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C0C0"/>
  </sheetPr>
  <dimension ref="A1:K31"/>
  <sheetViews>
    <sheetView showGridLines="0" tabSelected="1" workbookViewId="0">
      <pane xSplit="1" ySplit="7" topLeftCell="B8" activePane="bottomRight" state="frozen"/>
      <selection/>
      <selection pane="topRight"/>
      <selection pane="bottomLeft"/>
      <selection pane="bottomRight" activeCell="A1" sqref="A1"/>
    </sheetView>
  </sheetViews>
  <sheetFormatPr defaultColWidth="8.6796875" defaultRowHeight="15" customHeight="1"/>
  <cols>
    <col min="1" max="1" width="1" customWidth="1"/>
    <col min="2" max="2" width="26" customWidth="1"/>
    <col min="3" max="3" width="14" customWidth="1"/>
    <col min="4" max="4" width="16" customWidth="1"/>
    <col min="5" max="5" width="14" customWidth="1"/>
    <col min="6" max="6" width="18" customWidth="1"/>
    <col min="7" max="7" width="14" customWidth="1"/>
    <col min="8" max="8" width="30" customWidth="1"/>
    <col min="9" max="9" width="14" customWidth="1"/>
    <col min="10" max="10" width="25" style="123" customWidth="1"/>
    <col min="11" max="11" width="2" customWidth="1"/>
  </cols>
  <sheetData>
    <row r="1" ht="7.5" customHeight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1.75" customHeight="1" spans="1:11">
      <c r="A2" s="1"/>
      <c r="B2" s="124" t="s">
        <v>0</v>
      </c>
      <c r="K2" s="1"/>
    </row>
    <row r="3" ht="21.75" customHeight="1" spans="1:11">
      <c r="A3" s="1"/>
      <c r="B3" s="125" t="s">
        <v>1</v>
      </c>
      <c r="K3" s="1"/>
    </row>
    <row r="4" ht="21.75" customHeight="1" spans="1:11">
      <c r="A4" s="1"/>
      <c r="B4" s="126" t="s">
        <v>2</v>
      </c>
      <c r="K4" s="1"/>
    </row>
    <row r="5" ht="7.5" customHeight="1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6" customHeight="1"/>
    <row r="7" ht="18" customHeight="1" spans="2:2">
      <c r="B7" s="31" t="s">
        <v>3</v>
      </c>
    </row>
    <row r="8" ht="21.75" customHeight="1" spans="1:11">
      <c r="A8" s="1"/>
      <c r="B8" s="127" t="s">
        <v>4</v>
      </c>
      <c r="F8" s="127" t="s">
        <v>5</v>
      </c>
      <c r="J8" s="1"/>
      <c r="K8" s="1"/>
    </row>
    <row r="9" ht="21.75" customHeight="1" spans="1:11">
      <c r="A9" s="1"/>
      <c r="B9" s="128" t="s">
        <v>6</v>
      </c>
      <c r="F9" s="147" t="s">
        <v>7</v>
      </c>
      <c r="J9" s="1"/>
      <c r="K9" s="1"/>
    </row>
    <row r="10" ht="21.75" customHeight="1" spans="1:11">
      <c r="A10" s="1"/>
      <c r="B10" s="129" t="s">
        <v>8</v>
      </c>
      <c r="F10" s="129" t="s">
        <v>9</v>
      </c>
      <c r="J10" s="1"/>
      <c r="K10" s="1"/>
    </row>
    <row r="11" ht="21.75" customHeight="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ht="6" customHeight="1"/>
    <row r="13" ht="21.75" customHeight="1" spans="1:11">
      <c r="A13" s="1"/>
      <c r="B13" s="127" t="s">
        <v>10</v>
      </c>
      <c r="F13" s="127" t="s">
        <v>11</v>
      </c>
      <c r="J13" s="1"/>
      <c r="K13" s="1"/>
    </row>
    <row r="14" ht="21.75" customHeight="1" spans="1:11">
      <c r="A14" s="1"/>
      <c r="B14" s="130" t="s">
        <v>12</v>
      </c>
      <c r="F14" s="148" t="s">
        <v>13</v>
      </c>
      <c r="J14" s="1"/>
      <c r="K14" s="1"/>
    </row>
    <row r="15" ht="21.75" customHeight="1" spans="1:11">
      <c r="A15" s="1"/>
      <c r="B15" s="131" t="s">
        <v>14</v>
      </c>
      <c r="F15" s="129" t="s">
        <v>15</v>
      </c>
      <c r="J15" s="1"/>
      <c r="K15" s="1"/>
    </row>
    <row r="16" ht="6" customHeight="1"/>
    <row r="17" ht="18" customHeight="1" spans="2:2">
      <c r="B17" s="31" t="s">
        <v>16</v>
      </c>
    </row>
    <row r="18" ht="15.75" customHeight="1" spans="2:8">
      <c r="B18" s="3" t="s">
        <v>17</v>
      </c>
      <c r="C18" s="3" t="s">
        <v>18</v>
      </c>
      <c r="D18" s="3" t="s">
        <v>19</v>
      </c>
      <c r="F18" s="3" t="s">
        <v>20</v>
      </c>
      <c r="H18" s="3" t="s">
        <v>21</v>
      </c>
    </row>
    <row r="19" ht="15.75" customHeight="1" spans="2:10">
      <c r="B19" s="132" t="s">
        <v>22</v>
      </c>
      <c r="C19" s="133">
        <v>1178000</v>
      </c>
      <c r="D19" s="132" t="s">
        <v>23</v>
      </c>
      <c r="E19" s="149"/>
      <c r="F19" s="132" t="s">
        <v>24</v>
      </c>
      <c r="G19" s="149"/>
      <c r="H19" s="132" t="s">
        <v>25</v>
      </c>
      <c r="I19" s="149"/>
      <c r="J19" s="151" t="s">
        <v>26</v>
      </c>
    </row>
    <row r="20" ht="15.75" customHeight="1" spans="2:10">
      <c r="B20" s="134" t="s">
        <v>27</v>
      </c>
      <c r="C20" s="135">
        <v>460000</v>
      </c>
      <c r="D20" s="134" t="s">
        <v>28</v>
      </c>
      <c r="E20" s="150"/>
      <c r="F20" s="134" t="s">
        <v>29</v>
      </c>
      <c r="G20" s="150"/>
      <c r="H20" s="134" t="s">
        <v>30</v>
      </c>
      <c r="I20" s="150"/>
      <c r="J20" s="150"/>
    </row>
    <row r="21" ht="15.75" customHeight="1" spans="2:10">
      <c r="B21" s="132" t="s">
        <v>31</v>
      </c>
      <c r="C21" s="133">
        <v>8000</v>
      </c>
      <c r="D21" s="132" t="s">
        <v>28</v>
      </c>
      <c r="E21" s="149"/>
      <c r="F21" s="132" t="s">
        <v>32</v>
      </c>
      <c r="G21" s="149"/>
      <c r="H21" s="132" t="s">
        <v>33</v>
      </c>
      <c r="I21" s="149"/>
      <c r="J21" s="149"/>
    </row>
    <row r="22" ht="15.75" customHeight="1" spans="2:10">
      <c r="B22" s="136" t="s">
        <v>34</v>
      </c>
      <c r="C22" s="137">
        <f>SUM(C19:C21)</f>
        <v>1646000</v>
      </c>
      <c r="D22" s="138"/>
      <c r="E22" s="138"/>
      <c r="F22" s="138"/>
      <c r="G22" s="138"/>
      <c r="H22" s="138"/>
      <c r="I22" s="138"/>
      <c r="J22" s="138"/>
    </row>
    <row r="23" ht="6" customHeight="1"/>
    <row r="24" ht="18" customHeight="1" spans="2:2">
      <c r="B24" s="31" t="s">
        <v>35</v>
      </c>
    </row>
    <row r="25" ht="15.75" customHeight="1" spans="2:7">
      <c r="B25" s="3" t="s">
        <v>36</v>
      </c>
      <c r="C25" s="3" t="s">
        <v>37</v>
      </c>
      <c r="D25" s="3" t="s">
        <v>38</v>
      </c>
      <c r="E25" s="3" t="s">
        <v>39</v>
      </c>
      <c r="F25" s="3" t="s">
        <v>40</v>
      </c>
      <c r="G25" s="3" t="s">
        <v>20</v>
      </c>
    </row>
    <row r="26" ht="15.75" customHeight="1" spans="2:7">
      <c r="B26" s="139" t="s">
        <v>41</v>
      </c>
      <c r="C26" s="140">
        <v>0.25</v>
      </c>
      <c r="D26" s="133">
        <v>115000</v>
      </c>
      <c r="E26" s="140">
        <v>0.15</v>
      </c>
      <c r="F26" s="140">
        <v>0.35</v>
      </c>
      <c r="G26" s="132" t="s">
        <v>42</v>
      </c>
    </row>
    <row r="27" ht="15.75" customHeight="1" spans="2:7">
      <c r="B27" s="141" t="s">
        <v>43</v>
      </c>
      <c r="C27" s="142">
        <v>0.15</v>
      </c>
      <c r="D27" s="135">
        <v>69000</v>
      </c>
      <c r="E27" s="142">
        <v>0.1</v>
      </c>
      <c r="F27" s="142">
        <v>0.25</v>
      </c>
      <c r="G27" s="134" t="s">
        <v>44</v>
      </c>
    </row>
    <row r="28" ht="15.75" customHeight="1" spans="2:7">
      <c r="B28" s="143" t="s">
        <v>45</v>
      </c>
      <c r="C28" s="140">
        <v>0.2</v>
      </c>
      <c r="D28" s="133">
        <v>92000</v>
      </c>
      <c r="E28" s="140">
        <v>0.15</v>
      </c>
      <c r="F28" s="140">
        <v>0.35</v>
      </c>
      <c r="G28" s="132" t="s">
        <v>46</v>
      </c>
    </row>
    <row r="29" ht="15.75" customHeight="1" spans="2:7">
      <c r="B29" s="144" t="s">
        <v>47</v>
      </c>
      <c r="C29" s="142">
        <v>0.3</v>
      </c>
      <c r="D29" s="135">
        <v>138000</v>
      </c>
      <c r="E29" s="142">
        <v>0.15</v>
      </c>
      <c r="F29" s="142">
        <v>0.4</v>
      </c>
      <c r="G29" s="134" t="s">
        <v>48</v>
      </c>
    </row>
    <row r="30" ht="15.75" customHeight="1" spans="2:7">
      <c r="B30" s="145" t="s">
        <v>49</v>
      </c>
      <c r="C30" s="140">
        <v>0.1</v>
      </c>
      <c r="D30" s="133">
        <v>46000</v>
      </c>
      <c r="E30" s="140">
        <v>0.05</v>
      </c>
      <c r="F30" s="140">
        <v>0.2</v>
      </c>
      <c r="G30" s="132" t="s">
        <v>50</v>
      </c>
    </row>
    <row r="31" ht="15.75" customHeight="1" spans="2:7">
      <c r="B31" s="136" t="s">
        <v>34</v>
      </c>
      <c r="C31" s="146">
        <f>SUM(C26:C30)</f>
        <v>1</v>
      </c>
      <c r="D31" s="137">
        <f>SUM(D26:D30)</f>
        <v>460000</v>
      </c>
      <c r="E31" s="138"/>
      <c r="F31" s="138"/>
      <c r="G31" s="138"/>
    </row>
  </sheetData>
  <mergeCells count="18">
    <mergeCell ref="B2:J2"/>
    <mergeCell ref="B3:J3"/>
    <mergeCell ref="B4:J4"/>
    <mergeCell ref="B7:J7"/>
    <mergeCell ref="B8:E8"/>
    <mergeCell ref="F8:I8"/>
    <mergeCell ref="B9:E9"/>
    <mergeCell ref="F9:I9"/>
    <mergeCell ref="B10:E10"/>
    <mergeCell ref="F10:I10"/>
    <mergeCell ref="B13:E13"/>
    <mergeCell ref="F13:I13"/>
    <mergeCell ref="B14:E14"/>
    <mergeCell ref="F14:I14"/>
    <mergeCell ref="B15:E15"/>
    <mergeCell ref="F15:I15"/>
    <mergeCell ref="B17:J17"/>
    <mergeCell ref="B24:J24"/>
  </mergeCells>
  <hyperlinks>
    <hyperlink ref="J19" r:id="rId1" display="📊 Monitor Campinas →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A90D9"/>
  </sheetPr>
  <dimension ref="A1:S17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8.6796875" defaultRowHeight="15" customHeight="1"/>
  <cols>
    <col min="2" max="2" width="18" customWidth="1"/>
    <col min="3" max="3" width="14" customWidth="1"/>
    <col min="4" max="4" width="16" customWidth="1"/>
    <col min="5" max="7" width="13" customWidth="1"/>
    <col min="8" max="8" width="12" customWidth="1"/>
    <col min="9" max="9" width="32" customWidth="1"/>
  </cols>
  <sheetData>
    <row r="1" ht="7.5" customHeight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5.5" customHeight="1" spans="1:19">
      <c r="A2" s="1"/>
      <c r="B2" s="2" t="s">
        <v>51</v>
      </c>
      <c r="S2" s="1"/>
    </row>
    <row r="3" ht="6" customHeight="1"/>
    <row r="4" ht="18" customHeight="1" spans="2:9">
      <c r="B4" s="113" t="s">
        <v>36</v>
      </c>
      <c r="C4" s="113" t="s">
        <v>52</v>
      </c>
      <c r="D4" s="113" t="s">
        <v>38</v>
      </c>
      <c r="E4" s="113" t="s">
        <v>53</v>
      </c>
      <c r="F4" s="113" t="s">
        <v>54</v>
      </c>
      <c r="G4" s="113" t="s">
        <v>55</v>
      </c>
      <c r="H4" s="113" t="s">
        <v>56</v>
      </c>
      <c r="I4" s="113" t="s">
        <v>20</v>
      </c>
    </row>
    <row r="5" ht="18" customHeight="1" spans="2:9">
      <c r="B5" s="114" t="s">
        <v>41</v>
      </c>
      <c r="C5" s="83">
        <v>0.25</v>
      </c>
      <c r="D5" s="93">
        <v>115000</v>
      </c>
      <c r="E5" s="83">
        <v>0.15</v>
      </c>
      <c r="F5" s="83">
        <v>0.35</v>
      </c>
      <c r="G5" s="82" t="s">
        <v>57</v>
      </c>
      <c r="H5" s="82" t="s">
        <v>58</v>
      </c>
      <c r="I5" s="82" t="s">
        <v>42</v>
      </c>
    </row>
    <row r="6" ht="18" customHeight="1" spans="2:9">
      <c r="B6" s="117" t="s">
        <v>43</v>
      </c>
      <c r="C6" s="86">
        <v>0.15</v>
      </c>
      <c r="D6" s="95">
        <v>69000</v>
      </c>
      <c r="E6" s="86">
        <v>0.1</v>
      </c>
      <c r="F6" s="86">
        <v>0.25</v>
      </c>
      <c r="G6" s="85" t="s">
        <v>59</v>
      </c>
      <c r="H6" s="85" t="s">
        <v>60</v>
      </c>
      <c r="I6" s="85" t="s">
        <v>44</v>
      </c>
    </row>
    <row r="7" ht="18" customHeight="1" spans="2:9">
      <c r="B7" s="122" t="s">
        <v>45</v>
      </c>
      <c r="C7" s="83">
        <v>0.2</v>
      </c>
      <c r="D7" s="93">
        <v>92000</v>
      </c>
      <c r="E7" s="83">
        <v>0.15</v>
      </c>
      <c r="F7" s="83">
        <v>0.35</v>
      </c>
      <c r="G7" s="82" t="s">
        <v>61</v>
      </c>
      <c r="H7" s="82" t="s">
        <v>60</v>
      </c>
      <c r="I7" s="82" t="s">
        <v>46</v>
      </c>
    </row>
    <row r="8" ht="18" customHeight="1" spans="2:9">
      <c r="B8" s="84" t="s">
        <v>47</v>
      </c>
      <c r="C8" s="86">
        <v>0.3</v>
      </c>
      <c r="D8" s="95">
        <v>138000</v>
      </c>
      <c r="E8" s="86">
        <v>0.15</v>
      </c>
      <c r="F8" s="86">
        <v>0.4</v>
      </c>
      <c r="G8" s="85" t="s">
        <v>62</v>
      </c>
      <c r="H8" s="85" t="s">
        <v>60</v>
      </c>
      <c r="I8" s="85" t="s">
        <v>48</v>
      </c>
    </row>
    <row r="9" ht="18" customHeight="1" spans="2:9">
      <c r="B9" s="81" t="s">
        <v>49</v>
      </c>
      <c r="C9" s="83">
        <v>0.1</v>
      </c>
      <c r="D9" s="93">
        <v>46000</v>
      </c>
      <c r="E9" s="83">
        <v>0.05</v>
      </c>
      <c r="F9" s="83">
        <v>0.2</v>
      </c>
      <c r="G9" s="82" t="s">
        <v>60</v>
      </c>
      <c r="H9" s="82" t="s">
        <v>60</v>
      </c>
      <c r="I9" s="82" t="s">
        <v>50</v>
      </c>
    </row>
    <row r="10" ht="18" customHeight="1" spans="2:4">
      <c r="B10" s="89" t="s">
        <v>34</v>
      </c>
      <c r="C10" s="90">
        <f>SUM(C5:C9)</f>
        <v>1</v>
      </c>
      <c r="D10" s="97">
        <f>SUM(D5:D9)</f>
        <v>460000</v>
      </c>
    </row>
    <row r="12" customHeight="1" spans="14:15">
      <c r="N12" s="119" t="s">
        <v>36</v>
      </c>
      <c r="O12" s="119" t="s">
        <v>63</v>
      </c>
    </row>
    <row r="13" ht="16.5" customHeight="1" spans="14:15">
      <c r="N13" t="s">
        <v>41</v>
      </c>
      <c r="O13">
        <v>0.25</v>
      </c>
    </row>
    <row r="14" ht="16.5" customHeight="1" spans="14:15">
      <c r="N14" t="s">
        <v>43</v>
      </c>
      <c r="O14">
        <v>0.15</v>
      </c>
    </row>
    <row r="15" ht="16.5" customHeight="1" spans="14:15">
      <c r="N15" t="s">
        <v>45</v>
      </c>
      <c r="O15">
        <v>0.2</v>
      </c>
    </row>
    <row r="16" ht="16.5" customHeight="1" spans="14:15">
      <c r="N16" t="s">
        <v>47</v>
      </c>
      <c r="O16">
        <v>0.3</v>
      </c>
    </row>
    <row r="17" ht="16.5" customHeight="1" spans="14:15">
      <c r="N17" t="s">
        <v>49</v>
      </c>
      <c r="O17">
        <v>0.1</v>
      </c>
    </row>
  </sheetData>
  <mergeCells count="1">
    <mergeCell ref="B2:R2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5CF6"/>
  </sheetPr>
  <dimension ref="A1:S24"/>
  <sheetViews>
    <sheetView showGridLines="0" workbookViewId="0">
      <selection activeCell="A1" sqref="A1"/>
    </sheetView>
  </sheetViews>
  <sheetFormatPr defaultColWidth="8.6796875" defaultRowHeight="15" customHeight="1"/>
  <cols>
    <col min="2" max="2" width="36" customWidth="1"/>
    <col min="3" max="3" width="18" customWidth="1"/>
    <col min="4" max="4" width="12" customWidth="1"/>
    <col min="5" max="5" width="56" customWidth="1"/>
  </cols>
  <sheetData>
    <row r="1" ht="7.5" customHeight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5.5" customHeight="1" spans="1:19">
      <c r="A2" s="1"/>
      <c r="B2" s="2" t="s">
        <v>64</v>
      </c>
      <c r="N2" s="1"/>
      <c r="O2" s="1"/>
      <c r="P2" s="1"/>
      <c r="Q2" s="1"/>
      <c r="R2" s="1"/>
      <c r="S2" s="1"/>
    </row>
    <row r="3" ht="6" customHeight="1"/>
    <row r="4" ht="18" customHeight="1" spans="2:5">
      <c r="B4" s="113" t="s">
        <v>19</v>
      </c>
      <c r="C4" s="113" t="s">
        <v>65</v>
      </c>
      <c r="D4" s="113" t="s">
        <v>63</v>
      </c>
      <c r="E4" s="113" t="s">
        <v>66</v>
      </c>
    </row>
    <row r="5" ht="19.5" customHeight="1" spans="2:5">
      <c r="B5" s="114" t="s">
        <v>67</v>
      </c>
      <c r="C5" s="93">
        <v>276000</v>
      </c>
      <c r="D5" s="115">
        <v>0.6</v>
      </c>
      <c r="E5" s="120" t="s">
        <v>68</v>
      </c>
    </row>
    <row r="6" ht="19.5" customHeight="1" spans="2:5">
      <c r="B6" s="84" t="s">
        <v>69</v>
      </c>
      <c r="C6" s="95">
        <v>138000</v>
      </c>
      <c r="D6" s="116">
        <v>0.3</v>
      </c>
      <c r="E6" s="121" t="s">
        <v>70</v>
      </c>
    </row>
    <row r="7" ht="19.5" customHeight="1" spans="2:5">
      <c r="B7" s="81" t="s">
        <v>71</v>
      </c>
      <c r="C7" s="93">
        <v>46000</v>
      </c>
      <c r="D7" s="115">
        <v>0.1</v>
      </c>
      <c r="E7" s="120" t="s">
        <v>72</v>
      </c>
    </row>
    <row r="8" ht="19.5" customHeight="1" spans="2:5">
      <c r="B8" s="117" t="s">
        <v>23</v>
      </c>
      <c r="C8" s="95">
        <v>0</v>
      </c>
      <c r="D8" s="116">
        <v>0</v>
      </c>
      <c r="E8" s="121" t="s">
        <v>73</v>
      </c>
    </row>
    <row r="9" ht="18" customHeight="1" spans="2:4">
      <c r="B9" s="89" t="s">
        <v>34</v>
      </c>
      <c r="C9" s="97">
        <f>SUM(C5:C8)</f>
        <v>460000</v>
      </c>
      <c r="D9" s="118">
        <f>SUM(D5:D8)</f>
        <v>1</v>
      </c>
    </row>
    <row r="11" ht="6" customHeight="1"/>
    <row r="12" ht="18" customHeight="1" spans="2:2">
      <c r="B12" s="57" t="s">
        <v>74</v>
      </c>
    </row>
    <row r="13" ht="13.5" customHeight="1" spans="2:2">
      <c r="B13" s="92" t="s">
        <v>75</v>
      </c>
    </row>
    <row r="14" ht="13.5" customHeight="1" spans="2:2">
      <c r="B14" s="92" t="s">
        <v>76</v>
      </c>
    </row>
    <row r="15" ht="13.5" customHeight="1" spans="2:2">
      <c r="B15" s="92" t="s">
        <v>77</v>
      </c>
    </row>
    <row r="16" ht="13.5" customHeight="1" spans="2:2">
      <c r="B16" s="92" t="s">
        <v>78</v>
      </c>
    </row>
    <row r="20" customHeight="1" spans="2:3">
      <c r="B20" s="119" t="s">
        <v>19</v>
      </c>
      <c r="C20" s="119" t="s">
        <v>79</v>
      </c>
    </row>
    <row r="21" ht="16.5" customHeight="1" spans="2:3">
      <c r="B21" t="s">
        <v>67</v>
      </c>
      <c r="C21">
        <v>276000</v>
      </c>
    </row>
    <row r="22" ht="16.5" customHeight="1" spans="2:3">
      <c r="B22" t="s">
        <v>69</v>
      </c>
      <c r="C22">
        <v>138000</v>
      </c>
    </row>
    <row r="23" ht="16.5" customHeight="1" spans="2:3">
      <c r="B23" t="s">
        <v>71</v>
      </c>
      <c r="C23">
        <v>46000</v>
      </c>
    </row>
    <row r="24" ht="16.5" customHeight="1" spans="2:3">
      <c r="B24" t="s">
        <v>23</v>
      </c>
      <c r="C24">
        <v>0</v>
      </c>
    </row>
  </sheetData>
  <mergeCells count="6">
    <mergeCell ref="B2:M2"/>
    <mergeCell ref="B12:E12"/>
    <mergeCell ref="B13:E13"/>
    <mergeCell ref="B14:E14"/>
    <mergeCell ref="B15:E15"/>
    <mergeCell ref="B16:E16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AC8A0"/>
  </sheetPr>
  <dimension ref="A1:U30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8.6796875" defaultRowHeight="15" customHeight="1"/>
  <cols>
    <col min="2" max="2" width="14" customWidth="1"/>
    <col min="3" max="3" width="8" customWidth="1"/>
    <col min="4" max="4" width="36" customWidth="1"/>
    <col min="5" max="5" width="14" customWidth="1"/>
    <col min="6" max="6" width="12" customWidth="1"/>
    <col min="7" max="8" width="14" customWidth="1"/>
    <col min="9" max="10" width="10" customWidth="1"/>
    <col min="11" max="11" width="40" customWidth="1"/>
  </cols>
  <sheetData>
    <row r="1" ht="7.5" customHeight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5.5" customHeight="1" spans="1:21">
      <c r="A2" s="1"/>
      <c r="B2" s="2" t="s">
        <v>80</v>
      </c>
      <c r="M2" s="1"/>
      <c r="N2" s="1"/>
      <c r="O2" s="1"/>
      <c r="P2" s="1"/>
      <c r="Q2" s="1"/>
      <c r="R2" s="1"/>
      <c r="S2" s="1"/>
      <c r="T2" s="1"/>
      <c r="U2" s="1"/>
    </row>
    <row r="3" ht="6" customHeight="1"/>
    <row r="4" ht="15.75" customHeight="1" spans="2:11">
      <c r="B4" s="3" t="s">
        <v>36</v>
      </c>
      <c r="C4" s="3" t="s">
        <v>81</v>
      </c>
      <c r="D4" s="3" t="s">
        <v>82</v>
      </c>
      <c r="E4" s="3" t="s">
        <v>83</v>
      </c>
      <c r="F4" s="3" t="s">
        <v>84</v>
      </c>
      <c r="G4" s="3" t="s">
        <v>52</v>
      </c>
      <c r="H4" s="3" t="s">
        <v>38</v>
      </c>
      <c r="I4" s="3" t="s">
        <v>85</v>
      </c>
      <c r="J4" s="3" t="s">
        <v>86</v>
      </c>
      <c r="K4" s="3" t="s">
        <v>87</v>
      </c>
    </row>
    <row r="5" ht="13.5" customHeight="1" spans="2:11">
      <c r="B5" s="105" t="s">
        <v>41</v>
      </c>
      <c r="C5" s="5" t="s">
        <v>88</v>
      </c>
      <c r="D5" s="5" t="s">
        <v>89</v>
      </c>
      <c r="E5" s="5" t="s">
        <v>90</v>
      </c>
      <c r="F5" s="5" t="s">
        <v>91</v>
      </c>
      <c r="G5" s="99">
        <v>0.1364</v>
      </c>
      <c r="H5" s="103">
        <v>62727</v>
      </c>
      <c r="I5" s="5" t="s">
        <v>92</v>
      </c>
      <c r="J5" s="5" t="s">
        <v>93</v>
      </c>
      <c r="K5" s="5" t="s">
        <v>94</v>
      </c>
    </row>
    <row r="6" ht="13.5" customHeight="1" spans="2:11">
      <c r="B6" s="106" t="s">
        <v>41</v>
      </c>
      <c r="C6" s="7" t="s">
        <v>95</v>
      </c>
      <c r="D6" s="7" t="s">
        <v>96</v>
      </c>
      <c r="E6" s="7" t="s">
        <v>97</v>
      </c>
      <c r="F6" s="7" t="s">
        <v>98</v>
      </c>
      <c r="G6" s="101">
        <v>0.1136</v>
      </c>
      <c r="H6" s="104">
        <v>52273</v>
      </c>
      <c r="I6" s="7" t="s">
        <v>92</v>
      </c>
      <c r="J6" s="7" t="s">
        <v>93</v>
      </c>
      <c r="K6" s="7" t="s">
        <v>99</v>
      </c>
    </row>
    <row r="7" ht="13.5" customHeight="1" spans="2:11">
      <c r="B7" s="107" t="s">
        <v>43</v>
      </c>
      <c r="C7" s="5" t="s">
        <v>100</v>
      </c>
      <c r="D7" s="5" t="s">
        <v>101</v>
      </c>
      <c r="E7" s="5" t="s">
        <v>97</v>
      </c>
      <c r="F7" s="5" t="s">
        <v>98</v>
      </c>
      <c r="G7" s="99">
        <v>0.075</v>
      </c>
      <c r="H7" s="103">
        <v>34500</v>
      </c>
      <c r="I7" s="5" t="s">
        <v>92</v>
      </c>
      <c r="J7" s="5" t="s">
        <v>93</v>
      </c>
      <c r="K7" s="5" t="s">
        <v>102</v>
      </c>
    </row>
    <row r="8" ht="13.5" customHeight="1" spans="2:11">
      <c r="B8" s="108" t="s">
        <v>43</v>
      </c>
      <c r="C8" s="7" t="s">
        <v>103</v>
      </c>
      <c r="D8" s="7" t="s">
        <v>104</v>
      </c>
      <c r="E8" s="7" t="s">
        <v>97</v>
      </c>
      <c r="F8" s="7" t="s">
        <v>98</v>
      </c>
      <c r="G8" s="101">
        <v>0.075</v>
      </c>
      <c r="H8" s="104">
        <v>34500</v>
      </c>
      <c r="I8" s="7" t="s">
        <v>92</v>
      </c>
      <c r="J8" s="7" t="s">
        <v>93</v>
      </c>
      <c r="K8" s="7" t="s">
        <v>105</v>
      </c>
    </row>
    <row r="9" ht="13.5" customHeight="1" spans="2:11">
      <c r="B9" s="109" t="s">
        <v>45</v>
      </c>
      <c r="C9" s="5" t="s">
        <v>106</v>
      </c>
      <c r="D9" s="5" t="s">
        <v>107</v>
      </c>
      <c r="E9" s="5" t="s">
        <v>97</v>
      </c>
      <c r="F9" s="5" t="s">
        <v>98</v>
      </c>
      <c r="G9" s="99">
        <v>0.1364</v>
      </c>
      <c r="H9" s="103">
        <v>62727</v>
      </c>
      <c r="I9" s="5" t="s">
        <v>92</v>
      </c>
      <c r="J9" s="5" t="s">
        <v>93</v>
      </c>
      <c r="K9" s="5" t="s">
        <v>108</v>
      </c>
    </row>
    <row r="10" ht="13.5" customHeight="1" spans="2:11">
      <c r="B10" s="110" t="s">
        <v>45</v>
      </c>
      <c r="C10" s="7" t="s">
        <v>109</v>
      </c>
      <c r="D10" s="7" t="s">
        <v>110</v>
      </c>
      <c r="E10" s="7" t="s">
        <v>97</v>
      </c>
      <c r="F10" s="7" t="s">
        <v>98</v>
      </c>
      <c r="G10" s="101">
        <v>0.0636</v>
      </c>
      <c r="H10" s="104">
        <v>29273</v>
      </c>
      <c r="I10" s="7" t="s">
        <v>92</v>
      </c>
      <c r="J10" s="7" t="s">
        <v>93</v>
      </c>
      <c r="K10" s="7" t="s">
        <v>111</v>
      </c>
    </row>
    <row r="11" ht="13.5" customHeight="1" spans="2:11">
      <c r="B11" s="98" t="s">
        <v>47</v>
      </c>
      <c r="C11" s="5" t="s">
        <v>95</v>
      </c>
      <c r="D11" s="5" t="s">
        <v>96</v>
      </c>
      <c r="E11" s="5" t="s">
        <v>97</v>
      </c>
      <c r="F11" s="5" t="s">
        <v>98</v>
      </c>
      <c r="G11" s="99">
        <v>0.15</v>
      </c>
      <c r="H11" s="103">
        <v>69000</v>
      </c>
      <c r="I11" s="5" t="s">
        <v>92</v>
      </c>
      <c r="J11" s="5" t="s">
        <v>93</v>
      </c>
      <c r="K11" s="5" t="s">
        <v>112</v>
      </c>
    </row>
    <row r="12" ht="13.5" customHeight="1" spans="2:11">
      <c r="B12" s="100" t="s">
        <v>47</v>
      </c>
      <c r="C12" s="7" t="s">
        <v>113</v>
      </c>
      <c r="D12" s="7" t="s">
        <v>114</v>
      </c>
      <c r="E12" s="7" t="s">
        <v>97</v>
      </c>
      <c r="F12" s="7" t="s">
        <v>98</v>
      </c>
      <c r="G12" s="101">
        <v>0.0165</v>
      </c>
      <c r="H12" s="104">
        <v>7590</v>
      </c>
      <c r="I12" s="7" t="s">
        <v>92</v>
      </c>
      <c r="J12" s="7" t="s">
        <v>93</v>
      </c>
      <c r="K12" s="7" t="s">
        <v>115</v>
      </c>
    </row>
    <row r="13" ht="13.5" customHeight="1" spans="2:11">
      <c r="B13" s="98" t="s">
        <v>47</v>
      </c>
      <c r="C13" s="5" t="s">
        <v>116</v>
      </c>
      <c r="D13" s="5" t="s">
        <v>117</v>
      </c>
      <c r="E13" s="5" t="s">
        <v>97</v>
      </c>
      <c r="F13" s="5" t="s">
        <v>98</v>
      </c>
      <c r="G13" s="99">
        <v>0.0135</v>
      </c>
      <c r="H13" s="103">
        <v>6210</v>
      </c>
      <c r="I13" s="5" t="s">
        <v>92</v>
      </c>
      <c r="J13" s="5" t="s">
        <v>93</v>
      </c>
      <c r="K13" s="5" t="s">
        <v>118</v>
      </c>
    </row>
    <row r="14" ht="13.5" customHeight="1" spans="2:11">
      <c r="B14" s="100" t="s">
        <v>47</v>
      </c>
      <c r="C14" s="7" t="s">
        <v>109</v>
      </c>
      <c r="D14" s="7" t="s">
        <v>110</v>
      </c>
      <c r="E14" s="7" t="s">
        <v>97</v>
      </c>
      <c r="F14" s="7" t="s">
        <v>98</v>
      </c>
      <c r="G14" s="101">
        <v>0.0135</v>
      </c>
      <c r="H14" s="104">
        <v>6210</v>
      </c>
      <c r="I14" s="7" t="s">
        <v>92</v>
      </c>
      <c r="J14" s="7" t="s">
        <v>93</v>
      </c>
      <c r="K14" s="7" t="s">
        <v>119</v>
      </c>
    </row>
    <row r="15" ht="13.5" customHeight="1" spans="2:11">
      <c r="B15" s="98" t="s">
        <v>47</v>
      </c>
      <c r="C15" s="5" t="s">
        <v>120</v>
      </c>
      <c r="D15" s="5" t="s">
        <v>121</v>
      </c>
      <c r="E15" s="5" t="s">
        <v>97</v>
      </c>
      <c r="F15" s="5" t="s">
        <v>98</v>
      </c>
      <c r="G15" s="99">
        <v>0.0067</v>
      </c>
      <c r="H15" s="103">
        <v>3105</v>
      </c>
      <c r="I15" s="5" t="s">
        <v>92</v>
      </c>
      <c r="J15" s="5" t="s">
        <v>93</v>
      </c>
      <c r="K15" s="5" t="s">
        <v>122</v>
      </c>
    </row>
    <row r="16" ht="13.5" customHeight="1" spans="2:11">
      <c r="B16" s="100" t="s">
        <v>47</v>
      </c>
      <c r="C16" s="7" t="s">
        <v>123</v>
      </c>
      <c r="D16" s="7" t="s">
        <v>124</v>
      </c>
      <c r="E16" s="7" t="s">
        <v>125</v>
      </c>
      <c r="F16" s="7" t="s">
        <v>98</v>
      </c>
      <c r="G16" s="101">
        <v>0.0067</v>
      </c>
      <c r="H16" s="104">
        <v>3105</v>
      </c>
      <c r="I16" s="7" t="s">
        <v>92</v>
      </c>
      <c r="J16" s="7" t="s">
        <v>93</v>
      </c>
      <c r="K16" s="7" t="s">
        <v>126</v>
      </c>
    </row>
    <row r="17" ht="13.5" customHeight="1" spans="2:11">
      <c r="B17" s="98" t="s">
        <v>47</v>
      </c>
      <c r="C17" s="5" t="s">
        <v>127</v>
      </c>
      <c r="D17" s="5" t="s">
        <v>128</v>
      </c>
      <c r="E17" s="5" t="s">
        <v>97</v>
      </c>
      <c r="F17" s="5" t="s">
        <v>98</v>
      </c>
      <c r="G17" s="99">
        <v>0.015</v>
      </c>
      <c r="H17" s="103">
        <v>6900</v>
      </c>
      <c r="I17" s="5" t="s">
        <v>92</v>
      </c>
      <c r="J17" s="5" t="s">
        <v>93</v>
      </c>
      <c r="K17" s="5" t="s">
        <v>129</v>
      </c>
    </row>
    <row r="18" ht="13.5" customHeight="1" spans="2:11">
      <c r="B18" s="100" t="s">
        <v>47</v>
      </c>
      <c r="C18" s="7" t="s">
        <v>130</v>
      </c>
      <c r="D18" s="7" t="s">
        <v>131</v>
      </c>
      <c r="E18" s="7" t="s">
        <v>97</v>
      </c>
      <c r="F18" s="7" t="s">
        <v>98</v>
      </c>
      <c r="G18" s="101">
        <v>0.015</v>
      </c>
      <c r="H18" s="104">
        <v>6900</v>
      </c>
      <c r="I18" s="7" t="s">
        <v>92</v>
      </c>
      <c r="J18" s="7" t="s">
        <v>93</v>
      </c>
      <c r="K18" s="7" t="s">
        <v>132</v>
      </c>
    </row>
    <row r="19" ht="13.5" customHeight="1" spans="2:11">
      <c r="B19" s="98" t="s">
        <v>47</v>
      </c>
      <c r="C19" s="5" t="s">
        <v>133</v>
      </c>
      <c r="D19" s="5" t="s">
        <v>134</v>
      </c>
      <c r="E19" s="5" t="s">
        <v>135</v>
      </c>
      <c r="F19" s="5" t="s">
        <v>98</v>
      </c>
      <c r="G19" s="99">
        <v>0.015</v>
      </c>
      <c r="H19" s="103">
        <v>6900</v>
      </c>
      <c r="I19" s="5" t="s">
        <v>92</v>
      </c>
      <c r="J19" s="5" t="s">
        <v>93</v>
      </c>
      <c r="K19" s="5" t="s">
        <v>136</v>
      </c>
    </row>
    <row r="20" ht="13.5" customHeight="1" spans="2:11">
      <c r="B20" s="100" t="s">
        <v>47</v>
      </c>
      <c r="C20" s="7" t="s">
        <v>137</v>
      </c>
      <c r="D20" s="7" t="s">
        <v>138</v>
      </c>
      <c r="E20" s="7" t="s">
        <v>135</v>
      </c>
      <c r="F20" s="7" t="s">
        <v>98</v>
      </c>
      <c r="G20" s="101">
        <v>0.015</v>
      </c>
      <c r="H20" s="104">
        <v>6900</v>
      </c>
      <c r="I20" s="7" t="s">
        <v>92</v>
      </c>
      <c r="J20" s="7" t="s">
        <v>93</v>
      </c>
      <c r="K20" s="7" t="s">
        <v>139</v>
      </c>
    </row>
    <row r="21" ht="13.5" customHeight="1" spans="2:11">
      <c r="B21" s="98" t="s">
        <v>47</v>
      </c>
      <c r="C21" s="5" t="s">
        <v>140</v>
      </c>
      <c r="D21" s="5" t="s">
        <v>141</v>
      </c>
      <c r="E21" s="5" t="s">
        <v>142</v>
      </c>
      <c r="F21" s="5" t="s">
        <v>98</v>
      </c>
      <c r="G21" s="99">
        <v>0.006</v>
      </c>
      <c r="H21" s="103">
        <v>2760</v>
      </c>
      <c r="I21" s="5" t="s">
        <v>92</v>
      </c>
      <c r="J21" s="5" t="s">
        <v>93</v>
      </c>
      <c r="K21" s="5" t="s">
        <v>143</v>
      </c>
    </row>
    <row r="22" ht="13.5" customHeight="1" spans="2:11">
      <c r="B22" s="100" t="s">
        <v>47</v>
      </c>
      <c r="C22" s="7" t="s">
        <v>144</v>
      </c>
      <c r="D22" s="7" t="s">
        <v>145</v>
      </c>
      <c r="E22" s="7" t="s">
        <v>142</v>
      </c>
      <c r="F22" s="7" t="s">
        <v>98</v>
      </c>
      <c r="G22" s="101">
        <v>0.006</v>
      </c>
      <c r="H22" s="104">
        <v>2760</v>
      </c>
      <c r="I22" s="7" t="s">
        <v>92</v>
      </c>
      <c r="J22" s="7" t="s">
        <v>93</v>
      </c>
      <c r="K22" s="7" t="s">
        <v>146</v>
      </c>
    </row>
    <row r="23" ht="13.5" customHeight="1" spans="2:11">
      <c r="B23" s="98" t="s">
        <v>47</v>
      </c>
      <c r="C23" s="5" t="s">
        <v>147</v>
      </c>
      <c r="D23" s="5" t="s">
        <v>148</v>
      </c>
      <c r="E23" s="5" t="s">
        <v>142</v>
      </c>
      <c r="F23" s="5" t="s">
        <v>98</v>
      </c>
      <c r="G23" s="99">
        <v>0.006</v>
      </c>
      <c r="H23" s="103">
        <v>2760</v>
      </c>
      <c r="I23" s="5" t="s">
        <v>92</v>
      </c>
      <c r="J23" s="5" t="s">
        <v>93</v>
      </c>
      <c r="K23" s="5" t="s">
        <v>149</v>
      </c>
    </row>
    <row r="24" ht="13.5" customHeight="1" spans="2:11">
      <c r="B24" s="100" t="s">
        <v>47</v>
      </c>
      <c r="C24" s="7" t="s">
        <v>150</v>
      </c>
      <c r="D24" s="7" t="s">
        <v>151</v>
      </c>
      <c r="E24" s="7" t="s">
        <v>142</v>
      </c>
      <c r="F24" s="7" t="s">
        <v>98</v>
      </c>
      <c r="G24" s="101">
        <v>0.006</v>
      </c>
      <c r="H24" s="104">
        <v>2760</v>
      </c>
      <c r="I24" s="7" t="s">
        <v>92</v>
      </c>
      <c r="J24" s="7" t="s">
        <v>93</v>
      </c>
      <c r="K24" s="7" t="s">
        <v>152</v>
      </c>
    </row>
    <row r="25" ht="13.5" customHeight="1" spans="2:11">
      <c r="B25" s="98" t="s">
        <v>47</v>
      </c>
      <c r="C25" s="5" t="s">
        <v>153</v>
      </c>
      <c r="D25" s="5" t="s">
        <v>154</v>
      </c>
      <c r="E25" s="5" t="s">
        <v>142</v>
      </c>
      <c r="F25" s="5" t="s">
        <v>98</v>
      </c>
      <c r="G25" s="99">
        <v>0.009</v>
      </c>
      <c r="H25" s="103">
        <v>4140</v>
      </c>
      <c r="I25" s="5" t="s">
        <v>92</v>
      </c>
      <c r="J25" s="5" t="s">
        <v>93</v>
      </c>
      <c r="K25" s="5" t="s">
        <v>155</v>
      </c>
    </row>
    <row r="26" ht="13.5" customHeight="1" spans="2:11">
      <c r="B26" s="111" t="s">
        <v>49</v>
      </c>
      <c r="C26" s="7" t="s">
        <v>156</v>
      </c>
      <c r="D26" s="7" t="s">
        <v>157</v>
      </c>
      <c r="E26" s="7" t="s">
        <v>158</v>
      </c>
      <c r="F26" s="7" t="s">
        <v>98</v>
      </c>
      <c r="G26" s="101">
        <v>0.08</v>
      </c>
      <c r="H26" s="104">
        <v>36800</v>
      </c>
      <c r="I26" s="7" t="s">
        <v>92</v>
      </c>
      <c r="J26" s="7" t="s">
        <v>93</v>
      </c>
      <c r="K26" s="7" t="s">
        <v>159</v>
      </c>
    </row>
    <row r="27" ht="13.5" customHeight="1" spans="2:11">
      <c r="B27" s="112" t="s">
        <v>49</v>
      </c>
      <c r="C27" s="5" t="s">
        <v>160</v>
      </c>
      <c r="D27" s="5" t="s">
        <v>161</v>
      </c>
      <c r="E27" s="5" t="s">
        <v>158</v>
      </c>
      <c r="F27" s="5" t="s">
        <v>98</v>
      </c>
      <c r="G27" s="99">
        <v>0.0125</v>
      </c>
      <c r="H27" s="103">
        <v>5750</v>
      </c>
      <c r="I27" s="5" t="s">
        <v>92</v>
      </c>
      <c r="J27" s="5" t="s">
        <v>93</v>
      </c>
      <c r="K27" s="5" t="s">
        <v>162</v>
      </c>
    </row>
    <row r="28" ht="13.5" customHeight="1" spans="2:11">
      <c r="B28" s="111" t="s">
        <v>49</v>
      </c>
      <c r="C28" s="7" t="s">
        <v>163</v>
      </c>
      <c r="D28" s="7" t="s">
        <v>164</v>
      </c>
      <c r="E28" s="7" t="s">
        <v>158</v>
      </c>
      <c r="F28" s="7" t="s">
        <v>98</v>
      </c>
      <c r="G28" s="101">
        <v>0.0056</v>
      </c>
      <c r="H28" s="104">
        <v>2576</v>
      </c>
      <c r="I28" s="7" t="s">
        <v>92</v>
      </c>
      <c r="J28" s="7" t="s">
        <v>93</v>
      </c>
      <c r="K28" s="7" t="s">
        <v>165</v>
      </c>
    </row>
    <row r="29" ht="13.5" customHeight="1" spans="2:11">
      <c r="B29" s="112" t="s">
        <v>49</v>
      </c>
      <c r="C29" s="5" t="s">
        <v>166</v>
      </c>
      <c r="D29" s="5" t="s">
        <v>167</v>
      </c>
      <c r="E29" s="5" t="s">
        <v>158</v>
      </c>
      <c r="F29" s="5" t="s">
        <v>98</v>
      </c>
      <c r="G29" s="99">
        <v>0.0019</v>
      </c>
      <c r="H29" s="103">
        <v>874</v>
      </c>
      <c r="I29" s="5" t="s">
        <v>92</v>
      </c>
      <c r="J29" s="5" t="s">
        <v>93</v>
      </c>
      <c r="K29" s="5" t="s">
        <v>168</v>
      </c>
    </row>
    <row r="30" ht="13.5" customHeight="1" spans="2:7">
      <c r="B30" s="8" t="s">
        <v>34</v>
      </c>
      <c r="G30" s="24">
        <f>SUM(G5:G29)</f>
        <v>0.9999</v>
      </c>
    </row>
  </sheetData>
  <mergeCells count="1">
    <mergeCell ref="B2:L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5CF6"/>
  </sheetPr>
  <dimension ref="A1:S26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8.6796875" defaultRowHeight="15" customHeight="1"/>
  <cols>
    <col min="2" max="2" width="8" customWidth="1"/>
    <col min="3" max="3" width="26" customWidth="1"/>
    <col min="4" max="4" width="12" customWidth="1"/>
    <col min="5" max="5" width="16" customWidth="1"/>
    <col min="6" max="6" width="15" customWidth="1"/>
    <col min="7" max="7" width="44" customWidth="1"/>
  </cols>
  <sheetData>
    <row r="1" ht="7.5" customHeight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5.5" customHeight="1" spans="1:19">
      <c r="A2" s="1"/>
      <c r="B2" s="2" t="s">
        <v>169</v>
      </c>
      <c r="K2" s="1"/>
      <c r="L2" s="1"/>
      <c r="M2" s="1"/>
      <c r="N2" s="1"/>
      <c r="O2" s="1"/>
      <c r="P2" s="1"/>
      <c r="Q2" s="1"/>
      <c r="R2" s="1"/>
      <c r="S2" s="1"/>
    </row>
    <row r="3" ht="6" customHeight="1"/>
    <row r="4" ht="15.75" customHeight="1" spans="2:12">
      <c r="B4" s="3" t="s">
        <v>81</v>
      </c>
      <c r="C4" s="3" t="s">
        <v>170</v>
      </c>
      <c r="D4" s="3" t="s">
        <v>63</v>
      </c>
      <c r="E4" s="3" t="s">
        <v>65</v>
      </c>
      <c r="F4" s="3" t="s">
        <v>171</v>
      </c>
      <c r="G4" s="3" t="s">
        <v>66</v>
      </c>
      <c r="K4" s="78" t="s">
        <v>81</v>
      </c>
      <c r="L4" s="78" t="s">
        <v>172</v>
      </c>
    </row>
    <row r="5" ht="13.5" customHeight="1" spans="2:12">
      <c r="B5" s="98" t="s">
        <v>95</v>
      </c>
      <c r="C5" s="5" t="s">
        <v>173</v>
      </c>
      <c r="D5" s="99">
        <v>0.5</v>
      </c>
      <c r="E5" s="103">
        <v>69000</v>
      </c>
      <c r="F5" s="21">
        <v>1380</v>
      </c>
      <c r="G5" s="5" t="s">
        <v>174</v>
      </c>
      <c r="K5" t="s">
        <v>95</v>
      </c>
      <c r="L5">
        <v>69000</v>
      </c>
    </row>
    <row r="6" ht="13.5" customHeight="1" spans="2:12">
      <c r="B6" s="100" t="s">
        <v>113</v>
      </c>
      <c r="C6" s="7" t="s">
        <v>175</v>
      </c>
      <c r="D6" s="101">
        <v>0.055</v>
      </c>
      <c r="E6" s="104">
        <v>7590</v>
      </c>
      <c r="F6" s="19">
        <v>220</v>
      </c>
      <c r="G6" s="7" t="s">
        <v>176</v>
      </c>
      <c r="K6" t="s">
        <v>113</v>
      </c>
      <c r="L6">
        <v>7590</v>
      </c>
    </row>
    <row r="7" ht="13.5" customHeight="1" spans="2:12">
      <c r="B7" s="98" t="s">
        <v>116</v>
      </c>
      <c r="C7" s="5" t="s">
        <v>177</v>
      </c>
      <c r="D7" s="99">
        <v>0.045</v>
      </c>
      <c r="E7" s="103">
        <v>6210</v>
      </c>
      <c r="F7" s="21">
        <v>12</v>
      </c>
      <c r="G7" s="5" t="s">
        <v>178</v>
      </c>
      <c r="K7" t="s">
        <v>116</v>
      </c>
      <c r="L7">
        <v>6210</v>
      </c>
    </row>
    <row r="8" ht="13.5" customHeight="1" spans="2:12">
      <c r="B8" s="100" t="s">
        <v>109</v>
      </c>
      <c r="C8" s="7" t="s">
        <v>179</v>
      </c>
      <c r="D8" s="101">
        <v>0.045</v>
      </c>
      <c r="E8" s="104">
        <v>6210</v>
      </c>
      <c r="F8" s="19">
        <v>180</v>
      </c>
      <c r="G8" s="7" t="s">
        <v>180</v>
      </c>
      <c r="K8" t="s">
        <v>109</v>
      </c>
      <c r="L8">
        <v>6210</v>
      </c>
    </row>
    <row r="9" ht="13.5" customHeight="1" spans="2:12">
      <c r="B9" s="98" t="s">
        <v>120</v>
      </c>
      <c r="C9" s="5" t="s">
        <v>181</v>
      </c>
      <c r="D9" s="99">
        <v>0.0225</v>
      </c>
      <c r="E9" s="103">
        <v>3105</v>
      </c>
      <c r="F9" s="21">
        <v>45</v>
      </c>
      <c r="G9" s="5" t="s">
        <v>182</v>
      </c>
      <c r="K9" t="s">
        <v>120</v>
      </c>
      <c r="L9">
        <v>3105</v>
      </c>
    </row>
    <row r="10" ht="13.5" customHeight="1" spans="2:12">
      <c r="B10" s="100" t="s">
        <v>123</v>
      </c>
      <c r="C10" s="7" t="s">
        <v>183</v>
      </c>
      <c r="D10" s="101">
        <v>0.0225</v>
      </c>
      <c r="E10" s="104">
        <v>3105</v>
      </c>
      <c r="F10" s="19">
        <v>210</v>
      </c>
      <c r="G10" s="7" t="s">
        <v>184</v>
      </c>
      <c r="K10" t="s">
        <v>123</v>
      </c>
      <c r="L10">
        <v>3105</v>
      </c>
    </row>
    <row r="11" ht="13.5" customHeight="1" spans="2:12">
      <c r="B11" s="98" t="s">
        <v>127</v>
      </c>
      <c r="C11" s="5" t="s">
        <v>185</v>
      </c>
      <c r="D11" s="99">
        <v>0.05</v>
      </c>
      <c r="E11" s="103">
        <v>6900</v>
      </c>
      <c r="F11" s="21">
        <v>240</v>
      </c>
      <c r="G11" s="5" t="s">
        <v>186</v>
      </c>
      <c r="K11" t="s">
        <v>127</v>
      </c>
      <c r="L11">
        <v>6900</v>
      </c>
    </row>
    <row r="12" ht="13.5" customHeight="1" spans="2:12">
      <c r="B12" s="100" t="s">
        <v>130</v>
      </c>
      <c r="C12" s="7" t="s">
        <v>187</v>
      </c>
      <c r="D12" s="101">
        <v>0.05</v>
      </c>
      <c r="E12" s="104">
        <v>6900</v>
      </c>
      <c r="F12" s="19">
        <v>410</v>
      </c>
      <c r="G12" s="7" t="s">
        <v>188</v>
      </c>
      <c r="K12" t="s">
        <v>130</v>
      </c>
      <c r="L12">
        <v>6900</v>
      </c>
    </row>
    <row r="13" ht="13.5" customHeight="1" spans="2:12">
      <c r="B13" s="98" t="s">
        <v>133</v>
      </c>
      <c r="C13" s="5" t="s">
        <v>189</v>
      </c>
      <c r="D13" s="99">
        <v>0.05</v>
      </c>
      <c r="E13" s="103">
        <v>6900</v>
      </c>
      <c r="F13" s="21">
        <v>90</v>
      </c>
      <c r="G13" s="5" t="s">
        <v>136</v>
      </c>
      <c r="K13" t="s">
        <v>133</v>
      </c>
      <c r="L13">
        <v>6900</v>
      </c>
    </row>
    <row r="14" ht="13.5" customHeight="1" spans="2:12">
      <c r="B14" s="100" t="s">
        <v>137</v>
      </c>
      <c r="C14" s="7" t="s">
        <v>190</v>
      </c>
      <c r="D14" s="101">
        <v>0.05</v>
      </c>
      <c r="E14" s="104">
        <v>6900</v>
      </c>
      <c r="F14" s="19">
        <v>70</v>
      </c>
      <c r="G14" s="7" t="s">
        <v>191</v>
      </c>
      <c r="K14" t="s">
        <v>137</v>
      </c>
      <c r="L14">
        <v>6900</v>
      </c>
    </row>
    <row r="15" ht="13.5" customHeight="1" spans="2:12">
      <c r="B15" s="98" t="s">
        <v>140</v>
      </c>
      <c r="C15" s="5" t="s">
        <v>192</v>
      </c>
      <c r="D15" s="99">
        <v>0.02</v>
      </c>
      <c r="E15" s="103">
        <v>2760</v>
      </c>
      <c r="F15" s="21">
        <v>2</v>
      </c>
      <c r="G15" s="5" t="s">
        <v>143</v>
      </c>
      <c r="K15" t="s">
        <v>140</v>
      </c>
      <c r="L15">
        <v>2760</v>
      </c>
    </row>
    <row r="16" ht="13.5" customHeight="1" spans="2:12">
      <c r="B16" s="100" t="s">
        <v>144</v>
      </c>
      <c r="C16" s="7" t="s">
        <v>193</v>
      </c>
      <c r="D16" s="101">
        <v>0.02</v>
      </c>
      <c r="E16" s="104">
        <v>2760</v>
      </c>
      <c r="F16" s="19">
        <v>230</v>
      </c>
      <c r="G16" s="7" t="s">
        <v>146</v>
      </c>
      <c r="K16" t="s">
        <v>144</v>
      </c>
      <c r="L16">
        <v>2760</v>
      </c>
    </row>
    <row r="17" ht="13.5" customHeight="1" spans="2:12">
      <c r="B17" s="98" t="s">
        <v>147</v>
      </c>
      <c r="C17" s="5" t="s">
        <v>194</v>
      </c>
      <c r="D17" s="99">
        <v>0.02</v>
      </c>
      <c r="E17" s="103">
        <v>2760</v>
      </c>
      <c r="F17" s="21">
        <v>160</v>
      </c>
      <c r="G17" s="5" t="s">
        <v>149</v>
      </c>
      <c r="K17" t="s">
        <v>147</v>
      </c>
      <c r="L17">
        <v>2760</v>
      </c>
    </row>
    <row r="18" ht="13.5" customHeight="1" spans="2:12">
      <c r="B18" s="100" t="s">
        <v>150</v>
      </c>
      <c r="C18" s="7" t="s">
        <v>195</v>
      </c>
      <c r="D18" s="101">
        <v>0.02</v>
      </c>
      <c r="E18" s="104">
        <v>2760</v>
      </c>
      <c r="F18" s="19">
        <v>12</v>
      </c>
      <c r="G18" s="7" t="s">
        <v>196</v>
      </c>
      <c r="K18" t="s">
        <v>150</v>
      </c>
      <c r="L18">
        <v>2760</v>
      </c>
    </row>
    <row r="19" ht="13.5" customHeight="1" spans="2:12">
      <c r="B19" s="98" t="s">
        <v>153</v>
      </c>
      <c r="C19" s="5" t="s">
        <v>197</v>
      </c>
      <c r="D19" s="99">
        <v>0.03</v>
      </c>
      <c r="E19" s="103">
        <v>4140</v>
      </c>
      <c r="F19" s="21">
        <v>17</v>
      </c>
      <c r="G19" s="5" t="s">
        <v>155</v>
      </c>
      <c r="K19" t="s">
        <v>153</v>
      </c>
      <c r="L19">
        <v>4140</v>
      </c>
    </row>
    <row r="20" ht="13.5" customHeight="1" spans="2:5">
      <c r="B20" s="8" t="s">
        <v>34</v>
      </c>
      <c r="D20" s="102">
        <f>SUM(E5:E19)</f>
        <v>138000</v>
      </c>
      <c r="E20" s="24">
        <f>SUM(F5:F19)</f>
        <v>3278</v>
      </c>
    </row>
    <row r="22" ht="6" customHeight="1"/>
    <row r="23" customHeight="1" spans="2:2">
      <c r="B23" s="91" t="s">
        <v>198</v>
      </c>
    </row>
    <row r="24" customHeight="1" spans="2:2">
      <c r="B24" s="92" t="s">
        <v>199</v>
      </c>
    </row>
    <row r="25" customHeight="1" spans="2:2">
      <c r="B25" s="92" t="s">
        <v>200</v>
      </c>
    </row>
    <row r="26" customHeight="1" spans="2:2">
      <c r="B26" s="92" t="s">
        <v>201</v>
      </c>
    </row>
  </sheetData>
  <mergeCells count="5">
    <mergeCell ref="B2:J2"/>
    <mergeCell ref="B23:G23"/>
    <mergeCell ref="B24:G24"/>
    <mergeCell ref="B25:G25"/>
    <mergeCell ref="B26:G26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97316"/>
  </sheetPr>
  <dimension ref="A1:Q15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8.6796875" defaultRowHeight="15" customHeight="1"/>
  <cols>
    <col min="2" max="2" width="16" customWidth="1"/>
    <col min="3" max="3" width="8" customWidth="1"/>
    <col min="4" max="4" width="14" customWidth="1"/>
    <col min="5" max="5" width="16" customWidth="1"/>
    <col min="6" max="6" width="14" customWidth="1"/>
    <col min="7" max="7" width="40" customWidth="1"/>
  </cols>
  <sheetData>
    <row r="1" ht="7.5" customHeight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5.5" customHeight="1" spans="1:17">
      <c r="A2" s="1"/>
      <c r="B2" s="2" t="s">
        <v>202</v>
      </c>
      <c r="L2" s="1"/>
      <c r="M2" s="1"/>
      <c r="N2" s="1"/>
      <c r="O2" s="1"/>
      <c r="P2" s="1"/>
      <c r="Q2" s="1"/>
    </row>
    <row r="3" ht="6" customHeight="1"/>
    <row r="4" ht="15.75" customHeight="1" spans="2:11">
      <c r="B4" s="3" t="s">
        <v>203</v>
      </c>
      <c r="C4" s="3" t="s">
        <v>81</v>
      </c>
      <c r="D4" s="3" t="s">
        <v>204</v>
      </c>
      <c r="E4" s="3" t="s">
        <v>65</v>
      </c>
      <c r="F4" s="3" t="s">
        <v>205</v>
      </c>
      <c r="G4" s="3" t="s">
        <v>66</v>
      </c>
      <c r="J4" s="78" t="s">
        <v>81</v>
      </c>
      <c r="K4" s="78" t="s">
        <v>172</v>
      </c>
    </row>
    <row r="5" ht="18" customHeight="1" spans="2:11">
      <c r="B5" s="81" t="s">
        <v>49</v>
      </c>
      <c r="C5" s="82" t="s">
        <v>156</v>
      </c>
      <c r="D5" s="83">
        <v>0.8</v>
      </c>
      <c r="E5" s="93">
        <v>36800</v>
      </c>
      <c r="F5" s="94">
        <v>0.368</v>
      </c>
      <c r="G5" s="82" t="s">
        <v>206</v>
      </c>
      <c r="J5" t="s">
        <v>156</v>
      </c>
      <c r="K5">
        <v>36800</v>
      </c>
    </row>
    <row r="6" ht="18" customHeight="1" spans="2:11">
      <c r="B6" s="84" t="s">
        <v>207</v>
      </c>
      <c r="C6" s="85" t="s">
        <v>160</v>
      </c>
      <c r="D6" s="86">
        <v>0.125</v>
      </c>
      <c r="E6" s="95">
        <v>5750</v>
      </c>
      <c r="F6" s="96">
        <v>1.44</v>
      </c>
      <c r="G6" s="85" t="s">
        <v>208</v>
      </c>
      <c r="J6" t="s">
        <v>160</v>
      </c>
      <c r="K6">
        <v>5750</v>
      </c>
    </row>
    <row r="7" ht="18" customHeight="1" spans="2:11">
      <c r="B7" s="87" t="s">
        <v>209</v>
      </c>
      <c r="C7" s="82" t="s">
        <v>163</v>
      </c>
      <c r="D7" s="83">
        <v>0.056</v>
      </c>
      <c r="E7" s="93">
        <v>2576</v>
      </c>
      <c r="F7" s="94">
        <v>25.8</v>
      </c>
      <c r="G7" s="82" t="s">
        <v>210</v>
      </c>
      <c r="J7" t="s">
        <v>163</v>
      </c>
      <c r="K7">
        <v>2576</v>
      </c>
    </row>
    <row r="8" ht="18" customHeight="1" spans="2:11">
      <c r="B8" s="88" t="s">
        <v>211</v>
      </c>
      <c r="C8" s="85" t="s">
        <v>166</v>
      </c>
      <c r="D8" s="86">
        <v>0.019</v>
      </c>
      <c r="E8" s="95">
        <v>874</v>
      </c>
      <c r="F8" s="96">
        <v>41.6</v>
      </c>
      <c r="G8" s="85" t="s">
        <v>168</v>
      </c>
      <c r="J8" t="s">
        <v>166</v>
      </c>
      <c r="K8">
        <v>874</v>
      </c>
    </row>
    <row r="9" ht="18" customHeight="1" spans="2:5">
      <c r="B9" s="89" t="s">
        <v>34</v>
      </c>
      <c r="D9" s="90">
        <f>SUM(E5:E8)</f>
        <v>46000</v>
      </c>
      <c r="E9" s="97">
        <f>SUM(F5:F8)</f>
        <v>69.208</v>
      </c>
    </row>
    <row r="11" ht="6" customHeight="1"/>
    <row r="12" customHeight="1" spans="2:2">
      <c r="B12" s="91" t="s">
        <v>198</v>
      </c>
    </row>
    <row r="13" customHeight="1" spans="2:2">
      <c r="B13" s="92" t="s">
        <v>212</v>
      </c>
    </row>
    <row r="14" customHeight="1" spans="2:2">
      <c r="B14" s="92" t="s">
        <v>213</v>
      </c>
    </row>
    <row r="15" customHeight="1" spans="2:2">
      <c r="B15" s="92" t="s">
        <v>214</v>
      </c>
    </row>
  </sheetData>
  <mergeCells count="5">
    <mergeCell ref="B2:K2"/>
    <mergeCell ref="B12:G12"/>
    <mergeCell ref="B13:G13"/>
    <mergeCell ref="B14:G14"/>
    <mergeCell ref="B15:G15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5C842"/>
  </sheetPr>
  <dimension ref="A1:U32"/>
  <sheetViews>
    <sheetView showGridLines="0" workbookViewId="0">
      <selection activeCell="A1" sqref="A1"/>
    </sheetView>
  </sheetViews>
  <sheetFormatPr defaultColWidth="8.6796875" defaultRowHeight="15" customHeight="1"/>
  <cols>
    <col min="2" max="2" width="36" customWidth="1"/>
    <col min="3" max="3" width="16" customWidth="1"/>
    <col min="4" max="4" width="28" customWidth="1"/>
    <col min="5" max="5" width="24" customWidth="1"/>
  </cols>
  <sheetData>
    <row r="1" ht="7.5" customHeight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5.5" customHeight="1" spans="1:21">
      <c r="A2" s="1"/>
      <c r="B2" s="2" t="s">
        <v>215</v>
      </c>
      <c r="O2" s="1"/>
      <c r="P2" s="1"/>
      <c r="Q2" s="1"/>
      <c r="R2" s="1"/>
      <c r="S2" s="1"/>
      <c r="T2" s="1"/>
      <c r="U2" s="1"/>
    </row>
    <row r="3" ht="6" customHeight="1"/>
    <row r="4" ht="21.75" customHeight="1" spans="2:2">
      <c r="B4" s="55" t="s">
        <v>216</v>
      </c>
    </row>
    <row r="5" ht="21.75" customHeight="1" spans="2:5">
      <c r="B5" s="56" t="s">
        <v>217</v>
      </c>
      <c r="E5" s="76" t="s">
        <v>218</v>
      </c>
    </row>
    <row r="6" ht="21.75" customHeight="1" spans="5:5">
      <c r="E6" s="77" t="s">
        <v>219</v>
      </c>
    </row>
    <row r="7" ht="6" customHeight="1"/>
    <row r="8" ht="18" customHeight="1" spans="2:2">
      <c r="B8" s="57" t="s">
        <v>220</v>
      </c>
    </row>
    <row r="9" ht="15.75" customHeight="1" spans="2:11">
      <c r="B9" s="3" t="s">
        <v>36</v>
      </c>
      <c r="C9" s="3" t="s">
        <v>221</v>
      </c>
      <c r="D9" s="3" t="s">
        <v>217</v>
      </c>
      <c r="E9" s="3" t="s">
        <v>222</v>
      </c>
      <c r="H9" s="78" t="s">
        <v>17</v>
      </c>
      <c r="I9" s="78" t="s">
        <v>221</v>
      </c>
      <c r="J9" s="78" t="s">
        <v>217</v>
      </c>
      <c r="K9" s="78" t="s">
        <v>222</v>
      </c>
    </row>
    <row r="10" ht="15.75" customHeight="1" spans="2:11">
      <c r="B10" s="58" t="s">
        <v>41</v>
      </c>
      <c r="C10" s="59">
        <v>0.35</v>
      </c>
      <c r="D10" s="60">
        <v>0.25</v>
      </c>
      <c r="E10" s="59">
        <v>0.15</v>
      </c>
      <c r="H10" t="s">
        <v>41</v>
      </c>
      <c r="I10">
        <v>0.35</v>
      </c>
      <c r="J10">
        <v>0.25</v>
      </c>
      <c r="K10">
        <v>0.15</v>
      </c>
    </row>
    <row r="11" ht="15.75" customHeight="1" spans="2:11">
      <c r="B11" s="61" t="s">
        <v>43</v>
      </c>
      <c r="C11" s="62">
        <v>0.25</v>
      </c>
      <c r="D11" s="60">
        <v>0.15</v>
      </c>
      <c r="E11" s="62">
        <v>0.1</v>
      </c>
      <c r="H11" t="s">
        <v>43</v>
      </c>
      <c r="I11">
        <v>0.25</v>
      </c>
      <c r="J11">
        <v>0.15</v>
      </c>
      <c r="K11">
        <v>0.1</v>
      </c>
    </row>
    <row r="12" ht="15.75" customHeight="1" spans="2:11">
      <c r="B12" s="63" t="s">
        <v>45</v>
      </c>
      <c r="C12" s="59">
        <v>0.2</v>
      </c>
      <c r="D12" s="60">
        <v>0.2</v>
      </c>
      <c r="E12" s="59">
        <v>0.15</v>
      </c>
      <c r="H12" t="s">
        <v>45</v>
      </c>
      <c r="I12">
        <v>0.2</v>
      </c>
      <c r="J12">
        <v>0.2</v>
      </c>
      <c r="K12">
        <v>0.15</v>
      </c>
    </row>
    <row r="13" ht="15.75" customHeight="1" spans="2:11">
      <c r="B13" s="64" t="s">
        <v>47</v>
      </c>
      <c r="C13" s="62">
        <v>0.15</v>
      </c>
      <c r="D13" s="60">
        <v>0.3</v>
      </c>
      <c r="E13" s="62">
        <v>0.4</v>
      </c>
      <c r="H13" t="s">
        <v>47</v>
      </c>
      <c r="I13">
        <v>0.15</v>
      </c>
      <c r="J13">
        <v>0.3</v>
      </c>
      <c r="K13">
        <v>0.4</v>
      </c>
    </row>
    <row r="14" ht="15.75" customHeight="1" spans="2:11">
      <c r="B14" s="65" t="s">
        <v>49</v>
      </c>
      <c r="C14" s="59">
        <v>0.05</v>
      </c>
      <c r="D14" s="60">
        <v>0.1</v>
      </c>
      <c r="E14" s="59">
        <v>0.2</v>
      </c>
      <c r="H14" t="s">
        <v>49</v>
      </c>
      <c r="I14">
        <v>0.05</v>
      </c>
      <c r="J14">
        <v>0.1</v>
      </c>
      <c r="K14">
        <v>0.2</v>
      </c>
    </row>
    <row r="16" ht="6" customHeight="1"/>
    <row r="17" ht="18" customHeight="1" spans="2:2">
      <c r="B17" s="57" t="s">
        <v>223</v>
      </c>
    </row>
    <row r="18" ht="15.75" customHeight="1" spans="2:5">
      <c r="B18" s="3" t="s">
        <v>224</v>
      </c>
      <c r="C18" s="3" t="s">
        <v>170</v>
      </c>
      <c r="D18" s="3" t="s">
        <v>225</v>
      </c>
      <c r="E18" s="3" t="s">
        <v>226</v>
      </c>
    </row>
    <row r="19" ht="19.5" customHeight="1" spans="2:5">
      <c r="B19" s="66" t="s">
        <v>227</v>
      </c>
      <c r="C19" s="67" t="s">
        <v>228</v>
      </c>
      <c r="D19" s="68" t="s">
        <v>229</v>
      </c>
      <c r="E19" s="79" t="s">
        <v>230</v>
      </c>
    </row>
    <row r="20" ht="19.5" customHeight="1" spans="2:5">
      <c r="B20" s="69" t="s">
        <v>231</v>
      </c>
      <c r="C20" s="70" t="s">
        <v>232</v>
      </c>
      <c r="D20" s="71" t="s">
        <v>233</v>
      </c>
      <c r="E20" s="80" t="s">
        <v>41</v>
      </c>
    </row>
    <row r="21" ht="19.5" customHeight="1" spans="2:5">
      <c r="B21" s="66" t="s">
        <v>234</v>
      </c>
      <c r="C21" s="67" t="s">
        <v>235</v>
      </c>
      <c r="D21" s="68" t="s">
        <v>230</v>
      </c>
      <c r="E21" s="79" t="s">
        <v>41</v>
      </c>
    </row>
    <row r="22" ht="19.5" customHeight="1" spans="2:5">
      <c r="B22" s="69" t="s">
        <v>236</v>
      </c>
      <c r="C22" s="70" t="s">
        <v>237</v>
      </c>
      <c r="D22" s="71" t="s">
        <v>238</v>
      </c>
      <c r="E22" s="80" t="s">
        <v>230</v>
      </c>
    </row>
    <row r="24" ht="6" customHeight="1"/>
    <row r="25" ht="18" customHeight="1" spans="2:2">
      <c r="B25" s="57" t="s">
        <v>239</v>
      </c>
    </row>
    <row r="26" ht="15.75" customHeight="1" spans="2:3">
      <c r="B26" s="3" t="s">
        <v>240</v>
      </c>
      <c r="C26" s="3" t="s">
        <v>241</v>
      </c>
    </row>
    <row r="27" ht="15.75" customHeight="1" spans="2:3">
      <c r="B27" s="72" t="s">
        <v>242</v>
      </c>
      <c r="C27" s="73" t="s">
        <v>243</v>
      </c>
    </row>
    <row r="28" ht="15.75" customHeight="1" spans="2:3">
      <c r="B28" s="74" t="s">
        <v>244</v>
      </c>
      <c r="C28" s="75" t="s">
        <v>245</v>
      </c>
    </row>
    <row r="29" ht="15.75" customHeight="1" spans="2:3">
      <c r="B29" s="72" t="s">
        <v>246</v>
      </c>
      <c r="C29" s="73" t="s">
        <v>247</v>
      </c>
    </row>
    <row r="30" ht="15.75" customHeight="1" spans="2:3">
      <c r="B30" s="74" t="s">
        <v>248</v>
      </c>
      <c r="C30" s="75" t="s">
        <v>249</v>
      </c>
    </row>
    <row r="31" ht="15.75" customHeight="1" spans="2:3">
      <c r="B31" s="72" t="s">
        <v>250</v>
      </c>
      <c r="C31" s="73" t="s">
        <v>251</v>
      </c>
    </row>
    <row r="32" ht="15.75" customHeight="1" spans="2:3">
      <c r="B32" s="74" t="s">
        <v>252</v>
      </c>
      <c r="C32" s="75" t="s">
        <v>251</v>
      </c>
    </row>
  </sheetData>
  <mergeCells count="6">
    <mergeCell ref="B2:N2"/>
    <mergeCell ref="B4:D4"/>
    <mergeCell ref="B5:D5"/>
    <mergeCell ref="B8:H8"/>
    <mergeCell ref="B17:K17"/>
    <mergeCell ref="B25:F25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0FF00"/>
  </sheetPr>
  <dimension ref="A1:K54"/>
  <sheetViews>
    <sheetView workbookViewId="0">
      <pane xSplit="1" ySplit="6" topLeftCell="B7" activePane="bottomRight" state="frozen"/>
      <selection/>
      <selection pane="topRight"/>
      <selection pane="bottomLeft"/>
      <selection pane="bottomRight" activeCell="A1" sqref="A1"/>
    </sheetView>
  </sheetViews>
  <sheetFormatPr defaultColWidth="8.6796875" defaultRowHeight="15" customHeight="1"/>
  <cols>
    <col min="1" max="1" width="3" customWidth="1"/>
    <col min="2" max="2" width="26" customWidth="1"/>
    <col min="3" max="6" width="18" customWidth="1"/>
    <col min="7" max="7" width="3" customWidth="1"/>
    <col min="8" max="8" width="26" customWidth="1"/>
    <col min="9" max="10" width="18" customWidth="1"/>
  </cols>
  <sheetData>
    <row r="1" ht="7.5" customHeight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1.5" customHeight="1" spans="1:11">
      <c r="A2" s="1"/>
      <c r="B2" s="29" t="s">
        <v>253</v>
      </c>
      <c r="C2" s="1"/>
      <c r="D2" s="1"/>
      <c r="E2" s="1"/>
      <c r="F2" s="1"/>
      <c r="G2" s="1"/>
      <c r="H2" s="1"/>
      <c r="I2" s="1"/>
      <c r="J2" s="1"/>
      <c r="K2" s="1"/>
    </row>
    <row r="3" ht="21.75" customHeight="1" spans="1:11">
      <c r="A3" s="1"/>
      <c r="B3" s="30" t="s">
        <v>254</v>
      </c>
      <c r="C3" s="1"/>
      <c r="D3" s="1"/>
      <c r="E3" s="1"/>
      <c r="F3" s="1"/>
      <c r="G3" s="1"/>
      <c r="H3" s="1"/>
      <c r="I3" s="1"/>
      <c r="J3" s="1"/>
      <c r="K3" s="1"/>
    </row>
    <row r="4" ht="13.5" customHeight="1" spans="1:11">
      <c r="A4" s="1"/>
      <c r="B4" s="16" t="s">
        <v>255</v>
      </c>
      <c r="C4" s="1"/>
      <c r="D4" s="1"/>
      <c r="E4" s="16" t="s">
        <v>256</v>
      </c>
      <c r="F4" s="1"/>
      <c r="G4" s="1"/>
      <c r="H4" s="1"/>
      <c r="I4" s="1"/>
      <c r="J4" s="1"/>
      <c r="K4" s="1"/>
    </row>
    <row r="5" ht="18" customHeight="1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21.75" customHeight="1" spans="1:11">
      <c r="A6" s="1"/>
      <c r="B6" s="31" t="s">
        <v>257</v>
      </c>
      <c r="C6" s="1"/>
      <c r="D6" s="1"/>
      <c r="E6" s="1"/>
      <c r="F6" s="1"/>
      <c r="G6" s="1"/>
      <c r="H6" s="1"/>
      <c r="I6" s="1"/>
      <c r="J6" s="1"/>
      <c r="K6" s="1"/>
    </row>
    <row r="7" ht="18" customHeight="1" spans="1:11">
      <c r="A7" s="1"/>
      <c r="B7" s="32" t="s">
        <v>258</v>
      </c>
      <c r="C7" s="32" t="s">
        <v>259</v>
      </c>
      <c r="D7" s="32" t="s">
        <v>260</v>
      </c>
      <c r="E7" s="32" t="s">
        <v>261</v>
      </c>
      <c r="F7" s="1"/>
      <c r="G7" s="1"/>
      <c r="H7" s="1"/>
      <c r="I7" s="1"/>
      <c r="J7" s="1"/>
      <c r="K7" s="1"/>
    </row>
    <row r="8" ht="18" customHeight="1" spans="1:11">
      <c r="A8" s="1"/>
      <c r="B8" s="33" t="s">
        <v>262</v>
      </c>
      <c r="C8" s="34">
        <v>14.75</v>
      </c>
      <c r="D8" s="35" t="s">
        <v>263</v>
      </c>
      <c r="E8" s="35" t="s">
        <v>264</v>
      </c>
      <c r="F8" s="1"/>
      <c r="G8" s="1"/>
      <c r="H8" s="1"/>
      <c r="I8" s="1"/>
      <c r="J8" s="1"/>
      <c r="K8" s="1"/>
    </row>
    <row r="9" ht="18" customHeight="1" spans="1:11">
      <c r="A9" s="1"/>
      <c r="B9" s="33" t="s">
        <v>265</v>
      </c>
      <c r="C9" s="36">
        <v>3.81</v>
      </c>
      <c r="D9" s="35" t="s">
        <v>266</v>
      </c>
      <c r="E9" s="35" t="s">
        <v>267</v>
      </c>
      <c r="F9" s="1"/>
      <c r="G9" s="1"/>
      <c r="H9" s="1"/>
      <c r="I9" s="1"/>
      <c r="J9" s="1"/>
      <c r="K9" s="1"/>
    </row>
    <row r="10" ht="18" customHeight="1" spans="1:11">
      <c r="A10" s="1"/>
      <c r="B10" s="33" t="s">
        <v>268</v>
      </c>
      <c r="C10" s="37">
        <v>5.2112</v>
      </c>
      <c r="D10" s="35" t="s">
        <v>269</v>
      </c>
      <c r="E10" s="35" t="s">
        <v>270</v>
      </c>
      <c r="F10" s="1"/>
      <c r="G10" s="1"/>
      <c r="H10" s="1"/>
      <c r="I10" s="1"/>
      <c r="J10" s="1"/>
      <c r="K10" s="1"/>
    </row>
    <row r="11" ht="18" customHeight="1" spans="1:11">
      <c r="A11" s="1"/>
      <c r="B11" s="33" t="s">
        <v>271</v>
      </c>
      <c r="C11" s="38">
        <v>5.4</v>
      </c>
      <c r="D11" s="35" t="s">
        <v>272</v>
      </c>
      <c r="E11" s="35" t="s">
        <v>273</v>
      </c>
      <c r="F11" s="1"/>
      <c r="G11" s="1"/>
      <c r="H11" s="1"/>
      <c r="I11" s="1"/>
      <c r="J11" s="1"/>
      <c r="K11" s="1"/>
    </row>
    <row r="12" ht="21.75" customHeight="1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18" customHeight="1" spans="1:11">
      <c r="A13" s="1"/>
      <c r="B13" s="31" t="s">
        <v>274</v>
      </c>
      <c r="C13" s="1"/>
      <c r="D13" s="1"/>
      <c r="E13" s="1"/>
      <c r="F13" s="1"/>
      <c r="G13" s="1"/>
      <c r="H13" s="1"/>
      <c r="I13" s="1"/>
      <c r="J13" s="1"/>
      <c r="K13" s="1"/>
    </row>
    <row r="14" ht="18" customHeight="1" spans="1:11">
      <c r="A14" s="1"/>
      <c r="B14" s="32" t="s">
        <v>258</v>
      </c>
      <c r="C14" s="32" t="s">
        <v>259</v>
      </c>
      <c r="D14" s="32" t="s">
        <v>260</v>
      </c>
      <c r="E14" s="32" t="s">
        <v>261</v>
      </c>
      <c r="F14" s="1"/>
      <c r="G14" s="1"/>
      <c r="H14" s="1"/>
      <c r="I14" s="1"/>
      <c r="J14" s="1"/>
      <c r="K14" s="1"/>
    </row>
    <row r="15" ht="18" customHeight="1" spans="1:11">
      <c r="A15" s="1"/>
      <c r="B15" s="33" t="s">
        <v>275</v>
      </c>
      <c r="C15" s="36">
        <v>3.64</v>
      </c>
      <c r="D15" s="35" t="s">
        <v>266</v>
      </c>
      <c r="E15" s="35" t="s">
        <v>276</v>
      </c>
      <c r="F15" s="1"/>
      <c r="G15" s="1"/>
      <c r="H15" s="1"/>
      <c r="I15" s="1"/>
      <c r="J15" s="1"/>
      <c r="K15" s="1"/>
    </row>
    <row r="16" ht="18" customHeight="1" spans="1:11">
      <c r="A16" s="1"/>
      <c r="B16" s="33" t="s">
        <v>277</v>
      </c>
      <c r="C16" s="39">
        <v>2.3113</v>
      </c>
      <c r="D16" s="35" t="s">
        <v>278</v>
      </c>
      <c r="E16" s="35" t="s">
        <v>279</v>
      </c>
      <c r="F16" s="1"/>
      <c r="G16" s="1"/>
      <c r="H16" s="1"/>
      <c r="I16" s="1"/>
      <c r="J16" s="1"/>
      <c r="K16" s="1"/>
    </row>
    <row r="17" ht="18" customHeight="1" spans="1:11">
      <c r="A17" s="1"/>
      <c r="B17" s="33" t="s">
        <v>280</v>
      </c>
      <c r="C17" s="38">
        <v>4.4</v>
      </c>
      <c r="D17" s="35" t="s">
        <v>266</v>
      </c>
      <c r="E17" s="35" t="s">
        <v>281</v>
      </c>
      <c r="F17" s="1"/>
      <c r="G17" s="1"/>
      <c r="H17" s="1"/>
      <c r="I17" s="1"/>
      <c r="J17" s="1"/>
      <c r="K17" s="1"/>
    </row>
    <row r="18" ht="21.75" customHeight="1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8" customHeight="1" spans="1:11">
      <c r="A19" s="1"/>
      <c r="B19" s="40" t="s">
        <v>282</v>
      </c>
      <c r="C19" s="1"/>
      <c r="D19" s="1"/>
      <c r="E19" s="1"/>
      <c r="F19" s="1"/>
      <c r="G19" s="1"/>
      <c r="H19" s="1"/>
      <c r="I19" s="1"/>
      <c r="J19" s="1"/>
      <c r="K19" s="1"/>
    </row>
    <row r="20" ht="18" customHeight="1" spans="1:11">
      <c r="A20" s="1"/>
      <c r="B20" s="32" t="s">
        <v>258</v>
      </c>
      <c r="C20" s="32" t="s">
        <v>259</v>
      </c>
      <c r="D20" s="32" t="s">
        <v>260</v>
      </c>
      <c r="E20" s="32" t="s">
        <v>261</v>
      </c>
      <c r="F20" s="1"/>
      <c r="G20" s="1"/>
      <c r="H20" s="1"/>
      <c r="I20" s="1"/>
      <c r="J20" s="1"/>
      <c r="K20" s="1"/>
    </row>
    <row r="21" ht="18" customHeight="1" spans="1:11">
      <c r="A21" s="1"/>
      <c r="B21" s="33" t="s">
        <v>283</v>
      </c>
      <c r="C21" s="41" t="s">
        <v>88</v>
      </c>
      <c r="D21" s="35" t="s">
        <v>284</v>
      </c>
      <c r="E21" s="35" t="s">
        <v>285</v>
      </c>
      <c r="F21" s="1"/>
      <c r="G21" s="1"/>
      <c r="H21" s="1"/>
      <c r="I21" s="1"/>
      <c r="J21" s="1"/>
      <c r="K21" s="1"/>
    </row>
    <row r="22" ht="18" customHeight="1" spans="1:11">
      <c r="A22" s="1"/>
      <c r="B22" s="33" t="s">
        <v>286</v>
      </c>
      <c r="C22" s="41" t="s">
        <v>88</v>
      </c>
      <c r="D22" s="35" t="s">
        <v>284</v>
      </c>
      <c r="E22" s="35" t="s">
        <v>287</v>
      </c>
      <c r="F22" s="1"/>
      <c r="G22" s="1"/>
      <c r="H22" s="1"/>
      <c r="I22" s="1"/>
      <c r="J22" s="1"/>
      <c r="K22" s="1"/>
    </row>
    <row r="23" ht="18" customHeight="1" spans="1:11">
      <c r="A23" s="1"/>
      <c r="B23" s="33" t="s">
        <v>288</v>
      </c>
      <c r="C23" s="41" t="s">
        <v>88</v>
      </c>
      <c r="D23" s="35" t="s">
        <v>284</v>
      </c>
      <c r="E23" s="35" t="s">
        <v>289</v>
      </c>
      <c r="F23" s="1"/>
      <c r="G23" s="1"/>
      <c r="H23" s="1"/>
      <c r="I23" s="1"/>
      <c r="J23" s="1"/>
      <c r="K23" s="1"/>
    </row>
    <row r="24" ht="21.75" customHeight="1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8" customHeight="1" spans="1:11">
      <c r="A25" s="1"/>
      <c r="B25" s="31" t="s">
        <v>290</v>
      </c>
      <c r="C25" s="1"/>
      <c r="D25" s="1"/>
      <c r="E25" s="1"/>
      <c r="F25" s="1"/>
      <c r="G25" s="1"/>
      <c r="H25" s="1"/>
      <c r="I25" s="1"/>
      <c r="J25" s="1"/>
      <c r="K25" s="1"/>
    </row>
    <row r="26" ht="18" customHeight="1" spans="1:11">
      <c r="A26" s="1"/>
      <c r="B26" s="32" t="s">
        <v>21</v>
      </c>
      <c r="C26" s="32" t="s">
        <v>259</v>
      </c>
      <c r="D26" s="32" t="s">
        <v>291</v>
      </c>
      <c r="E26" s="32" t="s">
        <v>292</v>
      </c>
      <c r="F26" s="1"/>
      <c r="G26" s="1"/>
      <c r="H26" s="1"/>
      <c r="I26" s="1"/>
      <c r="J26" s="1"/>
      <c r="K26" s="1"/>
    </row>
    <row r="27" ht="18" customHeight="1" spans="1:11">
      <c r="A27" s="1"/>
      <c r="B27" s="42" t="s">
        <v>293</v>
      </c>
      <c r="C27" s="43" t="s">
        <v>294</v>
      </c>
      <c r="D27" s="44" t="s">
        <v>295</v>
      </c>
      <c r="E27" s="54" t="s">
        <v>296</v>
      </c>
      <c r="F27" s="1"/>
      <c r="G27" s="1"/>
      <c r="H27" s="1"/>
      <c r="I27" s="1"/>
      <c r="J27" s="1"/>
      <c r="K27" s="1"/>
    </row>
    <row r="28" ht="18" customHeight="1" spans="1:11">
      <c r="A28" s="1"/>
      <c r="B28" s="42" t="s">
        <v>297</v>
      </c>
      <c r="C28" s="45" t="s">
        <v>298</v>
      </c>
      <c r="D28" s="44" t="s">
        <v>299</v>
      </c>
      <c r="E28" s="54" t="s">
        <v>300</v>
      </c>
      <c r="F28" s="1"/>
      <c r="G28" s="1"/>
      <c r="H28" s="1"/>
      <c r="I28" s="1"/>
      <c r="J28" s="1"/>
      <c r="K28" s="1"/>
    </row>
    <row r="29" ht="18" customHeight="1" spans="1:11">
      <c r="A29" s="1"/>
      <c r="B29" s="42" t="s">
        <v>301</v>
      </c>
      <c r="C29" s="46" t="s">
        <v>12</v>
      </c>
      <c r="D29" s="44" t="s">
        <v>302</v>
      </c>
      <c r="E29" s="54" t="s">
        <v>303</v>
      </c>
      <c r="F29" s="1"/>
      <c r="G29" s="1"/>
      <c r="H29" s="1"/>
      <c r="I29" s="1"/>
      <c r="J29" s="1"/>
      <c r="K29" s="1"/>
    </row>
    <row r="30" ht="21.75" customHeight="1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8" customHeight="1" spans="1:11">
      <c r="A31" s="1"/>
      <c r="B31" s="47" t="s">
        <v>304</v>
      </c>
      <c r="C31" s="1"/>
      <c r="D31" s="1"/>
      <c r="E31" s="1"/>
      <c r="F31" s="1"/>
      <c r="G31" s="1"/>
      <c r="H31" s="1"/>
      <c r="I31" s="1"/>
      <c r="J31" s="1"/>
      <c r="K31" s="1"/>
    </row>
    <row r="32" ht="18" customHeight="1" spans="1:11">
      <c r="A32" s="1"/>
      <c r="B32" s="33" t="s">
        <v>305</v>
      </c>
      <c r="C32" s="48">
        <v>5.2112</v>
      </c>
      <c r="D32" s="35" t="s">
        <v>306</v>
      </c>
      <c r="E32" s="35" t="s">
        <v>307</v>
      </c>
      <c r="F32" s="1"/>
      <c r="G32" s="1"/>
      <c r="H32" s="1"/>
      <c r="I32" s="1"/>
      <c r="J32" s="1"/>
      <c r="K32" s="1"/>
    </row>
    <row r="33" ht="18" customHeight="1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8" customHeight="1" spans="1:11">
      <c r="A34" s="1"/>
      <c r="B34" s="49" t="s">
        <v>308</v>
      </c>
      <c r="C34" s="1"/>
      <c r="D34" s="1"/>
      <c r="E34" s="1"/>
      <c r="F34" s="1"/>
      <c r="G34" s="1"/>
      <c r="H34" s="1"/>
      <c r="I34" s="1"/>
      <c r="J34" s="1"/>
      <c r="K34" s="1"/>
    </row>
    <row r="35" ht="18" customHeight="1" spans="1:11">
      <c r="A35" s="1"/>
      <c r="B35" s="50" t="s">
        <v>309</v>
      </c>
      <c r="C35" s="51" t="s">
        <v>310</v>
      </c>
      <c r="D35" s="16" t="s">
        <v>311</v>
      </c>
      <c r="E35" s="1"/>
      <c r="F35" s="1"/>
      <c r="G35" s="1"/>
      <c r="H35" s="1"/>
      <c r="I35" s="1"/>
      <c r="J35" s="1"/>
      <c r="K35" s="1"/>
    </row>
    <row r="36" ht="21.75" customHeight="1" spans="1:11">
      <c r="A36" s="1"/>
      <c r="B36" s="52" t="s">
        <v>312</v>
      </c>
      <c r="C36" s="53" t="s">
        <v>313</v>
      </c>
      <c r="D36" s="1"/>
      <c r="E36" s="1"/>
      <c r="F36" s="1"/>
      <c r="G36" s="1"/>
      <c r="H36" s="1"/>
      <c r="I36" s="1"/>
      <c r="J36" s="1"/>
      <c r="K36" s="1"/>
    </row>
    <row r="37" ht="18" customHeight="1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8" customHeight="1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8" customHeight="1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8" customHeight="1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8" customHeight="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8" customHeight="1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8" customHeight="1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8" customHeight="1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8" customHeight="1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8" customHeight="1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8" customHeight="1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8" customHeight="1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8" customHeight="1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8" customHeight="1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8" customHeight="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8" customHeight="1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8" customHeight="1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8" customHeight="1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AC8A0"/>
  </sheetPr>
  <dimension ref="A1:U35"/>
  <sheetViews>
    <sheetView showGridLines="0" workbookViewId="0">
      <selection activeCell="A1" sqref="A1"/>
    </sheetView>
  </sheetViews>
  <sheetFormatPr defaultColWidth="8.6796875" defaultRowHeight="15" customHeight="1"/>
  <cols>
    <col min="2" max="2" width="4" customWidth="1"/>
    <col min="3" max="3" width="14" customWidth="1"/>
    <col min="4" max="4" width="44" customWidth="1"/>
    <col min="5" max="5" width="12" customWidth="1"/>
    <col min="6" max="6" width="10" customWidth="1"/>
    <col min="7" max="7" width="12" customWidth="1"/>
    <col min="8" max="8" width="20" customWidth="1"/>
    <col min="9" max="10" width="22" customWidth="1"/>
    <col min="11" max="11" width="10" customWidth="1"/>
  </cols>
  <sheetData>
    <row r="1" ht="7.5" customHeight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5.5" customHeight="1" spans="1:21">
      <c r="A2" s="1"/>
      <c r="B2" s="2" t="s">
        <v>314</v>
      </c>
      <c r="N2" s="1"/>
      <c r="O2" s="1"/>
      <c r="P2" s="1"/>
      <c r="Q2" s="1"/>
      <c r="R2" s="1"/>
      <c r="S2" s="1"/>
      <c r="T2" s="1"/>
      <c r="U2" s="1"/>
    </row>
    <row r="3" ht="6" customHeight="1"/>
    <row r="4" ht="15.75" customHeight="1" spans="2:11">
      <c r="B4" s="3" t="s">
        <v>315</v>
      </c>
      <c r="C4" s="3" t="s">
        <v>83</v>
      </c>
      <c r="D4" s="3" t="s">
        <v>316</v>
      </c>
      <c r="E4" s="3" t="s">
        <v>317</v>
      </c>
      <c r="F4" s="3" t="s">
        <v>318</v>
      </c>
      <c r="G4" s="3" t="s">
        <v>319</v>
      </c>
      <c r="H4" s="3" t="s">
        <v>320</v>
      </c>
      <c r="I4" s="3" t="s">
        <v>321</v>
      </c>
      <c r="J4" s="3" t="s">
        <v>322</v>
      </c>
      <c r="K4" s="3" t="s">
        <v>323</v>
      </c>
    </row>
    <row r="5" ht="13.5" customHeight="1" spans="2:11">
      <c r="B5" s="4">
        <v>1</v>
      </c>
      <c r="C5" s="5" t="s">
        <v>324</v>
      </c>
      <c r="D5" s="5" t="s">
        <v>325</v>
      </c>
      <c r="E5" s="4" t="s">
        <v>326</v>
      </c>
      <c r="F5" s="17" t="s">
        <v>88</v>
      </c>
      <c r="G5" s="17" t="s">
        <v>88</v>
      </c>
      <c r="H5" s="18">
        <v>450000</v>
      </c>
      <c r="I5" s="25">
        <v>130000</v>
      </c>
      <c r="J5" s="4" t="s">
        <v>88</v>
      </c>
      <c r="K5" s="26" t="s">
        <v>88</v>
      </c>
    </row>
    <row r="6" ht="13.5" customHeight="1" spans="2:11">
      <c r="B6" s="6">
        <v>2</v>
      </c>
      <c r="C6" s="7" t="s">
        <v>327</v>
      </c>
      <c r="D6" s="7" t="s">
        <v>328</v>
      </c>
      <c r="E6" s="6" t="s">
        <v>329</v>
      </c>
      <c r="F6" s="19">
        <v>280</v>
      </c>
      <c r="G6" s="19">
        <v>7377</v>
      </c>
      <c r="H6" s="20">
        <v>2065560</v>
      </c>
      <c r="I6" s="27">
        <v>129173</v>
      </c>
      <c r="J6" s="6" t="s">
        <v>330</v>
      </c>
      <c r="K6" s="28">
        <v>4</v>
      </c>
    </row>
    <row r="7" ht="13.5" customHeight="1" spans="2:11">
      <c r="B7" s="4">
        <v>3</v>
      </c>
      <c r="C7" s="5" t="s">
        <v>327</v>
      </c>
      <c r="D7" s="5" t="s">
        <v>331</v>
      </c>
      <c r="E7" s="4" t="s">
        <v>332</v>
      </c>
      <c r="F7" s="21">
        <v>88</v>
      </c>
      <c r="G7" s="21">
        <v>10000</v>
      </c>
      <c r="H7" s="18">
        <v>880000</v>
      </c>
      <c r="I7" s="25">
        <v>111614</v>
      </c>
      <c r="J7" s="4" t="s">
        <v>333</v>
      </c>
      <c r="K7" s="26">
        <v>2</v>
      </c>
    </row>
    <row r="8" ht="13.5" customHeight="1" spans="2:11">
      <c r="B8" s="6">
        <v>4</v>
      </c>
      <c r="C8" s="7" t="s">
        <v>324</v>
      </c>
      <c r="D8" s="7" t="s">
        <v>334</v>
      </c>
      <c r="E8" s="6" t="s">
        <v>335</v>
      </c>
      <c r="F8" s="22" t="s">
        <v>88</v>
      </c>
      <c r="G8" s="22" t="s">
        <v>88</v>
      </c>
      <c r="H8" s="20">
        <v>85000</v>
      </c>
      <c r="I8" s="27">
        <v>22000</v>
      </c>
      <c r="J8" s="6" t="s">
        <v>88</v>
      </c>
      <c r="K8" s="28" t="s">
        <v>88</v>
      </c>
    </row>
    <row r="9" ht="13.5" customHeight="1" spans="2:11">
      <c r="B9" s="4">
        <v>5</v>
      </c>
      <c r="C9" s="5" t="s">
        <v>324</v>
      </c>
      <c r="D9" s="5" t="s">
        <v>336</v>
      </c>
      <c r="E9" s="4" t="s">
        <v>337</v>
      </c>
      <c r="F9" s="17" t="s">
        <v>88</v>
      </c>
      <c r="G9" s="17" t="s">
        <v>88</v>
      </c>
      <c r="H9" s="18">
        <v>63000</v>
      </c>
      <c r="I9" s="25">
        <v>14000</v>
      </c>
      <c r="J9" s="4" t="s">
        <v>88</v>
      </c>
      <c r="K9" s="26" t="s">
        <v>88</v>
      </c>
    </row>
    <row r="10" ht="15.75" customHeight="1" spans="2:8">
      <c r="B10" s="8" t="s">
        <v>338</v>
      </c>
      <c r="H10" s="23">
        <f>SUM(H5:H9)</f>
        <v>3543560</v>
      </c>
    </row>
    <row r="11" ht="15.75" customHeight="1" spans="2:8">
      <c r="B11" s="8" t="s">
        <v>339</v>
      </c>
      <c r="H11" s="24">
        <f>H10/$C$35</f>
        <v>679989.253914645</v>
      </c>
    </row>
    <row r="13" ht="6" customHeight="1"/>
    <row r="14" customHeight="1" spans="2:2">
      <c r="B14" s="9" t="s">
        <v>340</v>
      </c>
    </row>
    <row r="16" ht="22" customHeight="1" spans="2:11">
      <c r="B16" s="10" t="s">
        <v>341</v>
      </c>
      <c r="C16" s="11"/>
      <c r="D16" s="11"/>
      <c r="E16" s="11"/>
      <c r="F16" s="11"/>
      <c r="G16" s="11"/>
      <c r="H16" s="11"/>
      <c r="I16" s="11"/>
      <c r="J16" s="11"/>
      <c r="K16" s="11"/>
    </row>
    <row r="17" ht="20" customHeight="1" spans="2:2">
      <c r="B17" s="12" t="s">
        <v>342</v>
      </c>
    </row>
    <row r="18" ht="16" customHeight="1" spans="2:11">
      <c r="B18" s="13" t="s">
        <v>343</v>
      </c>
      <c r="C18" s="11"/>
      <c r="D18" s="11"/>
      <c r="E18" s="11"/>
      <c r="F18" s="11"/>
      <c r="G18" s="11"/>
      <c r="H18" s="11"/>
      <c r="I18" s="11"/>
      <c r="J18" s="11"/>
      <c r="K18" s="11"/>
    </row>
    <row r="35" customHeight="1" spans="2:4">
      <c r="B35" s="14" t="s">
        <v>344</v>
      </c>
      <c r="C35" s="15">
        <v>5.2112</v>
      </c>
      <c r="D35" s="16" t="s">
        <v>345</v>
      </c>
    </row>
  </sheetData>
  <mergeCells count="5">
    <mergeCell ref="B2:M2"/>
    <mergeCell ref="B14:K14"/>
    <mergeCell ref="B16:K16"/>
    <mergeCell ref="B17:K17"/>
    <mergeCell ref="B18:K18"/>
  </mergeCells>
  <hyperlinks>
    <hyperlink ref="B17" r:id="rId1" display="→  Abrir Monitor: Preço/m² · MPI · Alertas · Séries históricas (Campinas/SP)"/>
  </hyperlink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📊 Dashboard</vt:lpstr>
      <vt:lpstr>🥧 Asset Allocation</vt:lpstr>
      <vt:lpstr>🗂 Gavetas</vt:lpstr>
      <vt:lpstr>📋 Instruments</vt:lpstr>
      <vt:lpstr>📈 Equities VISA</vt:lpstr>
      <vt:lpstr>₿ Crypto CFM</vt:lpstr>
      <vt:lpstr>⚡ Regime &amp; Risk</vt:lpstr>
      <vt:lpstr>📡 Macro Context</vt:lpstr>
      <vt:lpstr>🏠 Real Estate BR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eduardogiovannini</cp:lastModifiedBy>
  <cp:revision>3</cp:revision>
  <dcterms:created xsi:type="dcterms:W3CDTF">2026-03-15T19:41:00Z</dcterms:created>
  <dcterms:modified xsi:type="dcterms:W3CDTF">2026-03-21T10:02:06Z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779D82514DC000E06862B769302C96C4_43</vt:lpwstr>
  </property>
  <property fmtid="{D5CDD505-2E9C-101B-9397-08002B2CF9AE}" pid="3" name="KSOProductBuildVer">
    <vt:lpwstr>1033-12.1.23155.23155</vt:lpwstr>
  </property>
</Properties>
</file>